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f7f9357f1e376d1/Desktop/Finance projects/"/>
    </mc:Choice>
  </mc:AlternateContent>
  <xr:revisionPtr revIDLastSave="0" documentId="8_{FC32CE5B-DBE4-4B00-B2EC-305539BF93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Historical Data" sheetId="2" r:id="rId2"/>
    <sheet name="Assumptions" sheetId="3" r:id="rId3"/>
    <sheet name="Forecast Model" sheetId="4" r:id="rId4"/>
    <sheet name="Financial Statements" sheetId="5" r:id="rId5"/>
    <sheet name="Scenario Analysis" sheetId="6" r:id="rId6"/>
    <sheet name="Sensitivity" sheetId="7" r:id="rId7"/>
    <sheet name="Dashboard" sheetId="8" r:id="rId8"/>
    <sheet name="Analysis Not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8" l="1"/>
  <c r="A3" i="8"/>
  <c r="N2" i="8"/>
  <c r="D4" i="6"/>
  <c r="D22" i="8" s="1"/>
  <c r="B4" i="6"/>
  <c r="B22" i="8" s="1"/>
  <c r="D12" i="5"/>
  <c r="E6" i="8" s="1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6" i="5"/>
  <c r="C6" i="5"/>
  <c r="B6" i="5"/>
  <c r="D5" i="5"/>
  <c r="N12" i="8" s="1"/>
  <c r="D4" i="5"/>
  <c r="C6" i="8" s="1"/>
  <c r="C4" i="5"/>
  <c r="B4" i="5"/>
  <c r="D3" i="5"/>
  <c r="B3" i="5"/>
  <c r="D2" i="5"/>
  <c r="A6" i="8" s="1"/>
  <c r="C2" i="5"/>
  <c r="N3" i="8" s="1"/>
  <c r="B2" i="5"/>
  <c r="B21" i="4"/>
  <c r="B20" i="4"/>
  <c r="B19" i="4"/>
  <c r="E18" i="4"/>
  <c r="G9" i="5" s="1"/>
  <c r="D18" i="4"/>
  <c r="F9" i="5" s="1"/>
  <c r="C18" i="4"/>
  <c r="E9" i="5" s="1"/>
  <c r="B18" i="4"/>
  <c r="B17" i="4"/>
  <c r="B15" i="4"/>
  <c r="B13" i="4"/>
  <c r="B12" i="4"/>
  <c r="B11" i="4"/>
  <c r="B7" i="4" a="1"/>
  <c r="B7" i="4" s="1"/>
  <c r="B6" i="4" a="1"/>
  <c r="B6" i="4" s="1"/>
  <c r="B5" i="4" a="1"/>
  <c r="B5" i="4" s="1"/>
  <c r="B4" i="4" a="1"/>
  <c r="B4" i="4" s="1"/>
  <c r="B3" i="4" a="1"/>
  <c r="B3" i="4" s="1"/>
  <c r="C11" i="4" s="1"/>
  <c r="D23" i="2"/>
  <c r="C23" i="2"/>
  <c r="C6" i="3" s="1"/>
  <c r="B23" i="2"/>
  <c r="D22" i="2"/>
  <c r="C5" i="3" s="1"/>
  <c r="C22" i="2"/>
  <c r="B22" i="2"/>
  <c r="D21" i="2"/>
  <c r="C21" i="2"/>
  <c r="C4" i="3" s="1"/>
  <c r="B21" i="2"/>
  <c r="D17" i="2"/>
  <c r="D13" i="5" s="1"/>
  <c r="O12" i="8" s="1"/>
  <c r="C17" i="2"/>
  <c r="C13" i="5" s="1"/>
  <c r="O11" i="8" s="1"/>
  <c r="B17" i="2"/>
  <c r="B13" i="5" s="1"/>
  <c r="O10" i="8" s="1"/>
  <c r="D11" i="2"/>
  <c r="B16" i="4" s="1"/>
  <c r="C11" i="2"/>
  <c r="C7" i="5" s="1"/>
  <c r="B11" i="2"/>
  <c r="B7" i="5" s="1"/>
  <c r="D9" i="2"/>
  <c r="C3" i="3" s="1"/>
  <c r="C9" i="2"/>
  <c r="C5" i="5" s="1"/>
  <c r="N11" i="8" s="1"/>
  <c r="B9" i="2"/>
  <c r="B5" i="5" s="1"/>
  <c r="N10" i="8" s="1"/>
  <c r="D4" i="2"/>
  <c r="C4" i="2"/>
  <c r="C3" i="5" s="1"/>
  <c r="B4" i="2"/>
  <c r="B4" i="7" l="1"/>
  <c r="D7" i="7"/>
  <c r="C7" i="7"/>
  <c r="B7" i="7"/>
  <c r="D6" i="7"/>
  <c r="C6" i="7"/>
  <c r="B6" i="7"/>
  <c r="D5" i="7"/>
  <c r="C5" i="7"/>
  <c r="B5" i="7"/>
  <c r="D4" i="7"/>
  <c r="C4" i="7"/>
  <c r="C17" i="4"/>
  <c r="E8" i="5" s="1"/>
  <c r="C13" i="4"/>
  <c r="C12" i="4"/>
  <c r="E3" i="5" s="1"/>
  <c r="E2" i="5"/>
  <c r="N5" i="8" s="1"/>
  <c r="D11" i="4"/>
  <c r="C15" i="4"/>
  <c r="E6" i="5" s="1"/>
  <c r="B5" i="6"/>
  <c r="B14" i="4"/>
  <c r="B22" i="4"/>
  <c r="D5" i="6"/>
  <c r="G6" i="8"/>
  <c r="D7" i="5"/>
  <c r="C2" i="3"/>
  <c r="C4" i="6" s="1"/>
  <c r="C16" i="4" l="1"/>
  <c r="E4" i="5"/>
  <c r="C14" i="4"/>
  <c r="E5" i="5" s="1"/>
  <c r="N13" i="8" s="1"/>
  <c r="C22" i="8"/>
  <c r="C5" i="6"/>
  <c r="D23" i="8"/>
  <c r="D7" i="6"/>
  <c r="D8" i="6" s="1"/>
  <c r="D6" i="6"/>
  <c r="B23" i="8"/>
  <c r="B7" i="6"/>
  <c r="B8" i="6" s="1"/>
  <c r="B6" i="6"/>
  <c r="D12" i="4"/>
  <c r="F3" i="5" s="1"/>
  <c r="D17" i="4"/>
  <c r="F8" i="5" s="1"/>
  <c r="F2" i="5"/>
  <c r="N6" i="8" s="1"/>
  <c r="E11" i="4"/>
  <c r="D15" i="4"/>
  <c r="F6" i="5" s="1"/>
  <c r="D13" i="4"/>
  <c r="E12" i="4" l="1"/>
  <c r="G3" i="5" s="1"/>
  <c r="G2" i="5"/>
  <c r="E15" i="4"/>
  <c r="G6" i="5" s="1"/>
  <c r="E17" i="4"/>
  <c r="G8" i="5" s="1"/>
  <c r="E13" i="4"/>
  <c r="D9" i="6"/>
  <c r="D25" i="8" s="1"/>
  <c r="D24" i="8"/>
  <c r="C23" i="8"/>
  <c r="C7" i="6"/>
  <c r="C8" i="6" s="1"/>
  <c r="C6" i="6"/>
  <c r="B9" i="6"/>
  <c r="B25" i="8" s="1"/>
  <c r="B24" i="8"/>
  <c r="D16" i="4"/>
  <c r="F4" i="5"/>
  <c r="D14" i="4"/>
  <c r="F5" i="5" s="1"/>
  <c r="N14" i="8" s="1"/>
  <c r="E7" i="5"/>
  <c r="C19" i="4"/>
  <c r="F7" i="5" l="1"/>
  <c r="D19" i="4"/>
  <c r="C9" i="6"/>
  <c r="C25" i="8" s="1"/>
  <c r="C24" i="8"/>
  <c r="E16" i="4"/>
  <c r="G4" i="5"/>
  <c r="E14" i="4"/>
  <c r="G5" i="5" s="1"/>
  <c r="N15" i="8" s="1"/>
  <c r="N7" i="8"/>
  <c r="I6" i="8"/>
  <c r="C20" i="4"/>
  <c r="E11" i="5" s="1"/>
  <c r="E10" i="5"/>
  <c r="G7" i="5" l="1"/>
  <c r="E19" i="4"/>
  <c r="D20" i="4"/>
  <c r="F11" i="5" s="1"/>
  <c r="F10" i="5"/>
  <c r="D21" i="4"/>
  <c r="C21" i="4"/>
  <c r="E12" i="5" l="1"/>
  <c r="C22" i="4"/>
  <c r="E13" i="5" s="1"/>
  <c r="O13" i="8" s="1"/>
  <c r="F12" i="5"/>
  <c r="D22" i="4"/>
  <c r="F13" i="5" s="1"/>
  <c r="O14" i="8" s="1"/>
  <c r="E20" i="4"/>
  <c r="G11" i="5" s="1"/>
  <c r="G10" i="5"/>
  <c r="E21" i="4"/>
  <c r="G12" i="5" l="1"/>
  <c r="K6" i="8" s="1"/>
  <c r="E22" i="4"/>
  <c r="G13" i="5" s="1"/>
  <c r="O15" i="8" s="1"/>
</calcChain>
</file>

<file path=xl/sharedStrings.xml><?xml version="1.0" encoding="utf-8"?>
<sst xmlns="http://schemas.openxmlformats.org/spreadsheetml/2006/main" count="193" uniqueCount="107">
  <si>
    <t>ASIAN PAINTS LIMITED</t>
  </si>
  <si>
    <t>Assumption</t>
  </si>
  <si>
    <t>Selected scenario</t>
  </si>
  <si>
    <t>Financial Metric</t>
  </si>
  <si>
    <t>Bear</t>
  </si>
  <si>
    <t>FY24</t>
  </si>
  <si>
    <t>FY25</t>
  </si>
  <si>
    <t>FY26</t>
  </si>
  <si>
    <t>FINANCIAL ANALYSIS &amp; FORECAST</t>
  </si>
  <si>
    <t>Bull</t>
  </si>
  <si>
    <t>Unit</t>
  </si>
  <si>
    <t>Base</t>
  </si>
  <si>
    <t>Revenue</t>
  </si>
  <si>
    <t>Revenue Growth</t>
  </si>
  <si>
    <t>Historical Performance and Financial Modelling</t>
  </si>
  <si>
    <t>HISTORICAL PERIOD</t>
  </si>
  <si>
    <t>₹Cr</t>
  </si>
  <si>
    <t>FORECAST PERIOD</t>
  </si>
  <si>
    <t>Other Income</t>
  </si>
  <si>
    <t>FY2024 – FY2026</t>
  </si>
  <si>
    <t>FY2027E – FY2029E</t>
  </si>
  <si>
    <t>PROJECT COMPONENTS</t>
  </si>
  <si>
    <t>EBITDA Margin</t>
  </si>
  <si>
    <t>Historical Financial Analysis</t>
  </si>
  <si>
    <t>Revenue &amp; Profitability Forecast</t>
  </si>
  <si>
    <t>Bear, Base &amp; Bull Scenario Analysis</t>
  </si>
  <si>
    <t>PAT Sensitivity Analysis</t>
  </si>
  <si>
    <t>Interactive Financial Dashboard</t>
  </si>
  <si>
    <t>D&amp;A % of Revenue</t>
  </si>
  <si>
    <t>TOOLS USED</t>
  </si>
  <si>
    <t>Google Sheets · Microsoft Excel</t>
  </si>
  <si>
    <t>DISCLAIMER</t>
  </si>
  <si>
    <t>%</t>
  </si>
  <si>
    <t>Finance Cost %</t>
  </si>
  <si>
    <t>Cost of Materials</t>
  </si>
  <si>
    <t>Illustrative projections based on model assumptions. Not company-issued forecasts.</t>
  </si>
  <si>
    <t>Employee Expenses</t>
  </si>
  <si>
    <t>Tax Rate</t>
  </si>
  <si>
    <t>Other Operating Expenses</t>
  </si>
  <si>
    <t>EBITDA</t>
  </si>
  <si>
    <t>ASSUMPTION METHODOLOGY</t>
  </si>
  <si>
    <t>Base Case assumptions use the average of FY25 and FY26 historical ratios.</t>
  </si>
  <si>
    <t>FY26 Actual</t>
  </si>
  <si>
    <t>FY27E</t>
  </si>
  <si>
    <t>FY28E</t>
  </si>
  <si>
    <t>FY29E</t>
  </si>
  <si>
    <t>Bear Case represents a conservative operating environment.</t>
  </si>
  <si>
    <t>Bull Case represents stronger revenue growth and profitability.</t>
  </si>
  <si>
    <t>All scenarios are illustrative and do not represent company guidance.</t>
  </si>
  <si>
    <t>Depreciation &amp; Amortisation</t>
  </si>
  <si>
    <t>EBIT</t>
  </si>
  <si>
    <t>Finance Costs</t>
  </si>
  <si>
    <t>Profit Before Tax</t>
  </si>
  <si>
    <t>D&amp;A</t>
  </si>
  <si>
    <t>Exceptional Items</t>
  </si>
  <si>
    <t>Tax Expense</t>
  </si>
  <si>
    <t>Profit After Tax</t>
  </si>
  <si>
    <t>PAT Margin</t>
  </si>
  <si>
    <t>EPS</t>
  </si>
  <si>
    <t>₹</t>
  </si>
  <si>
    <t>Source</t>
  </si>
  <si>
    <t>Asian Paints Integrated Annual Report FY2024-25 — Standalone financials (FY24)</t>
  </si>
  <si>
    <t>Asian Paints Integrated Annual Report FY2024-25 — Standalone financials (FY25)</t>
  </si>
  <si>
    <t>Asian Paints Integrated Annual Report FY2025-26 — Standalone financials (FY26)</t>
  </si>
  <si>
    <t>Finance cost % of revenue</t>
  </si>
  <si>
    <t>Effective tax rate</t>
  </si>
  <si>
    <t>FY24 Actual</t>
  </si>
  <si>
    <t>FY25 Actual</t>
  </si>
  <si>
    <t>FY29 Scenario Analysis</t>
  </si>
  <si>
    <t>FY29 PAT Sensitivity Analysis</t>
  </si>
  <si>
    <t xml:space="preserve">Revenue Growth  / EBITDA Margin </t>
  </si>
  <si>
    <t>Illustrative scenarios; not company-issued forecasts. Amounts in ₹ crore.</t>
  </si>
  <si>
    <t>Illustrative FY29 PAT; Base Case D&amp;A, finance cost and tax assumptions held constant.</t>
  </si>
  <si>
    <t>ASIAN PAINTS — FINANCIAL ANALYSIS</t>
  </si>
  <si>
    <t>1. Historical Performance</t>
  </si>
  <si>
    <t>Revenue declined in FY25 before recovering in FY26.</t>
  </si>
  <si>
    <t>EBITDA margin declined in FY25 and recovered in FY26.</t>
  </si>
  <si>
    <t>2. Forecast Assumptions</t>
  </si>
  <si>
    <t>Revenue growth, EBITDA margin, D&amp;A, finance costs and tax rate drive the forecasts.</t>
  </si>
  <si>
    <t>Bear, Base and Bull scenarios represent illustrative assumptions, not official company guidance.</t>
  </si>
  <si>
    <t>3. Scenario Analysis</t>
  </si>
  <si>
    <t>The Bull case produces the highest projected FY29 revenue and PAT under the selected assumptions.</t>
  </si>
  <si>
    <t>4. Sensitivity Analysis</t>
  </si>
  <si>
    <t>FY29 PAT changes with revenue growth and EBITDA margin, while Base Case D&amp;A, finance costs and tax assumptions remain constant.</t>
  </si>
  <si>
    <t>5. Key Risks and Limitations</t>
  </si>
  <si>
    <t>Forecasts are assumption-driven and may differ materially from actual results.</t>
  </si>
  <si>
    <t>Historical financial figures are based on Asian Paints Limited's published standalone financial results. Forecasts are illustrative and use simplified assumptions; they should not be interpreted as company-issued guidance.</t>
  </si>
  <si>
    <t>Forecast EBITDA is estimated by applying the assumed EBITDA margin to revenue. Other income is not forecast separately, so projected results may differ from the company's reported EBITDA methodology.</t>
  </si>
  <si>
    <t>Financial Year</t>
  </si>
  <si>
    <t>Revenue (₹ Cr)</t>
  </si>
  <si>
    <t>Historical Performance &amp; Forecast · FY24–FY29</t>
  </si>
  <si>
    <t>KEY FINANCIAL INDICATORS</t>
  </si>
  <si>
    <t>FY26 Revenue</t>
  </si>
  <si>
    <t>FY26 EBITDA</t>
  </si>
  <si>
    <t>FY26 PAT</t>
  </si>
  <si>
    <t>FY26 EBITDA Margin</t>
  </si>
  <si>
    <t>FY29 Revenue</t>
  </si>
  <si>
    <t>FY29 PAT</t>
  </si>
  <si>
    <t>HISTORICAL &amp; FORECAST TRENDS</t>
  </si>
  <si>
    <t>SCENARIO COMPARISON</t>
  </si>
  <si>
    <t>Metric</t>
  </si>
  <si>
    <t>FY29 EBITDA</t>
  </si>
  <si>
    <t>FY29 PAT Margin</t>
  </si>
  <si>
    <t>KEY OBSERVATIONS</t>
  </si>
  <si>
    <t>FY25 revenue declined before recovering in FY26.</t>
  </si>
  <si>
    <t>The Bull scenario delivers the highest projected FY29 revenue and PAT.</t>
  </si>
  <si>
    <t>Forecast outcomes depend on revenue growth, EBITDA margin and other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</si>
</sst>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/>
    <xf numFmtId="0" fontId="1" fillId="6" borderId="0" xfId="0" applyFont="1" applyFill="1" applyAlignment="1">
      <alignment horizontal="center"/>
    </xf>
    <xf numFmtId="0" fontId="2" fillId="7" borderId="1" xfId="0" applyFont="1" applyFill="1" applyBorder="1" applyAlignment="1">
      <alignment horizontal="right"/>
    </xf>
    <xf numFmtId="0" fontId="2" fillId="0" borderId="1" xfId="0" applyFont="1" applyBorder="1"/>
    <xf numFmtId="0" fontId="2" fillId="5" borderId="1" xfId="0" applyFont="1" applyFill="1" applyBorder="1" applyAlignment="1">
      <alignment horizontal="right"/>
    </xf>
    <xf numFmtId="0" fontId="3" fillId="6" borderId="0" xfId="0" applyFont="1" applyFill="1" applyAlignment="1">
      <alignment horizontal="center"/>
    </xf>
    <xf numFmtId="0" fontId="4" fillId="6" borderId="0" xfId="0" applyFont="1" applyFill="1"/>
    <xf numFmtId="0" fontId="4" fillId="0" borderId="1" xfId="0" applyFont="1" applyBorder="1"/>
    <xf numFmtId="0" fontId="2" fillId="9" borderId="1" xfId="0" applyFont="1" applyFill="1" applyBorder="1" applyAlignment="1">
      <alignment horizontal="right"/>
    </xf>
    <xf numFmtId="10" fontId="4" fillId="0" borderId="1" xfId="0" applyNumberFormat="1" applyFont="1" applyBorder="1"/>
    <xf numFmtId="0" fontId="4" fillId="2" borderId="1" xfId="0" applyFont="1" applyFill="1" applyBorder="1"/>
    <xf numFmtId="4" fontId="4" fillId="0" borderId="1" xfId="0" applyNumberFormat="1" applyFont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10" borderId="0" xfId="0" applyFont="1" applyFill="1" applyAlignment="1">
      <alignment horizontal="center"/>
    </xf>
    <xf numFmtId="10" fontId="4" fillId="0" borderId="1" xfId="0" applyNumberFormat="1" applyFont="1" applyBorder="1" applyAlignment="1">
      <alignment horizontal="right"/>
    </xf>
    <xf numFmtId="0" fontId="5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" fillId="11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 wrapText="1"/>
    </xf>
    <xf numFmtId="0" fontId="2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2" fillId="2" borderId="1" xfId="0" applyFont="1" applyFill="1" applyBorder="1"/>
    <xf numFmtId="0" fontId="4" fillId="5" borderId="1" xfId="0" applyFont="1" applyFill="1" applyBorder="1"/>
    <xf numFmtId="4" fontId="4" fillId="0" borderId="1" xfId="0" applyNumberFormat="1" applyFont="1" applyBorder="1"/>
    <xf numFmtId="2" fontId="4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2" fillId="12" borderId="1" xfId="0" applyFont="1" applyFill="1" applyBorder="1"/>
    <xf numFmtId="0" fontId="4" fillId="7" borderId="1" xfId="0" applyFont="1" applyFill="1" applyBorder="1"/>
    <xf numFmtId="0" fontId="2" fillId="13" borderId="1" xfId="0" applyFont="1" applyFill="1" applyBorder="1"/>
    <xf numFmtId="0" fontId="2" fillId="7" borderId="1" xfId="0" applyFont="1" applyFill="1" applyBorder="1"/>
    <xf numFmtId="0" fontId="2" fillId="9" borderId="1" xfId="0" applyFont="1" applyFill="1" applyBorder="1"/>
    <xf numFmtId="9" fontId="2" fillId="14" borderId="1" xfId="0" applyNumberFormat="1" applyFont="1" applyFill="1" applyBorder="1"/>
    <xf numFmtId="10" fontId="2" fillId="14" borderId="1" xfId="0" applyNumberFormat="1" applyFont="1" applyFill="1" applyBorder="1"/>
    <xf numFmtId="9" fontId="2" fillId="5" borderId="1" xfId="0" applyNumberFormat="1" applyFont="1" applyFill="1" applyBorder="1" applyAlignment="1">
      <alignment horizontal="left"/>
    </xf>
    <xf numFmtId="0" fontId="4" fillId="0" borderId="0" xfId="0" applyFont="1" applyAlignment="1">
      <alignment wrapText="1"/>
    </xf>
    <xf numFmtId="0" fontId="4" fillId="14" borderId="1" xfId="0" applyFont="1" applyFill="1" applyBorder="1"/>
    <xf numFmtId="0" fontId="4" fillId="9" borderId="1" xfId="0" applyFont="1" applyFill="1" applyBorder="1"/>
    <xf numFmtId="4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4" fillId="11" borderId="1" xfId="0" applyFont="1" applyFill="1" applyBorder="1"/>
    <xf numFmtId="0" fontId="1" fillId="4" borderId="0" xfId="0" applyFont="1" applyFill="1" applyAlignment="1">
      <alignment horizontal="center"/>
    </xf>
    <xf numFmtId="0" fontId="0" fillId="0" borderId="0" xfId="0"/>
    <xf numFmtId="0" fontId="3" fillId="8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7" borderId="0" xfId="0" applyFont="1" applyFill="1" applyAlignment="1">
      <alignment horizontal="center" wrapText="1"/>
    </xf>
    <xf numFmtId="0" fontId="7" fillId="7" borderId="0" xfId="0" applyFont="1" applyFill="1" applyAlignment="1">
      <alignment horizontal="center" wrapText="1"/>
    </xf>
    <xf numFmtId="0" fontId="2" fillId="11" borderId="2" xfId="0" applyFont="1" applyFill="1" applyBorder="1" applyAlignment="1">
      <alignment wrapText="1"/>
    </xf>
    <xf numFmtId="0" fontId="8" fillId="0" borderId="3" xfId="0" applyFont="1" applyBorder="1"/>
    <xf numFmtId="0" fontId="8" fillId="0" borderId="4" xfId="0" applyFont="1" applyBorder="1"/>
    <xf numFmtId="0" fontId="4" fillId="0" borderId="2" xfId="0" applyFont="1" applyBorder="1" applyAlignment="1">
      <alignment wrapText="1"/>
    </xf>
    <xf numFmtId="0" fontId="5" fillId="11" borderId="0" xfId="0" applyFont="1" applyFill="1" applyAlignment="1">
      <alignment horizontal="center"/>
    </xf>
    <xf numFmtId="0" fontId="4" fillId="10" borderId="0" xfId="0" applyFont="1" applyFill="1"/>
    <xf numFmtId="0" fontId="2" fillId="7" borderId="0" xfId="0" applyFont="1" applyFill="1" applyAlignment="1">
      <alignment horizontal="center"/>
    </xf>
    <xf numFmtId="0" fontId="4" fillId="11" borderId="0" xfId="0" applyFont="1" applyFill="1"/>
    <xf numFmtId="0" fontId="4" fillId="0" borderId="2" xfId="0" applyFont="1" applyBorder="1"/>
    <xf numFmtId="0" fontId="2" fillId="9" borderId="2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4" fillId="11" borderId="2" xfId="0" applyFont="1" applyFill="1" applyBorder="1"/>
    <xf numFmtId="0" fontId="2" fillId="15" borderId="5" xfId="0" applyFont="1" applyFill="1" applyBorder="1" applyAlignment="1">
      <alignment wrapText="1"/>
    </xf>
    <xf numFmtId="0" fontId="8" fillId="0" borderId="6" xfId="0" applyFont="1" applyBorder="1"/>
    <xf numFmtId="0" fontId="8" fillId="0" borderId="7" xfId="0" applyFont="1" applyBorder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8" fillId="0" borderId="12" xfId="0" applyFont="1" applyBorder="1"/>
    <xf numFmtId="0" fontId="4" fillId="0" borderId="8" xfId="0" applyFont="1" applyBorder="1" applyAlignment="1">
      <alignment wrapText="1"/>
    </xf>
    <xf numFmtId="0" fontId="8" fillId="0" borderId="9" xfId="0" applyFont="1" applyBorder="1"/>
    <xf numFmtId="0" fontId="8" fillId="0" borderId="10" xfId="0" applyFont="1" applyBorder="1"/>
    <xf numFmtId="0" fontId="5" fillId="11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(₹ Cr) vs. Financial Year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Dashboard!$N$1</c:f>
              <c:strCache>
                <c:ptCount val="1"/>
                <c:pt idx="0">
                  <c:v>Revenue (₹ Cr)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Dashboard!$M$2:$M$7</c:f>
              <c:strCache>
                <c:ptCount val="6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</c:strCache>
            </c:strRef>
          </c:cat>
          <c:val>
            <c:numRef>
              <c:f>Dashboard!$N$2:$N$7</c:f>
              <c:numCache>
                <c:formatCode>#,##0.00</c:formatCode>
                <c:ptCount val="6"/>
                <c:pt idx="0">
                  <c:v>31227</c:v>
                </c:pt>
                <c:pt idx="1">
                  <c:v>29552.65</c:v>
                </c:pt>
                <c:pt idx="2">
                  <c:v>30769.48</c:v>
                </c:pt>
                <c:pt idx="3" formatCode="0.00">
                  <c:v>33231.038400000005</c:v>
                </c:pt>
                <c:pt idx="4" formatCode="0.00">
                  <c:v>35889.521472000008</c:v>
                </c:pt>
                <c:pt idx="5" formatCode="0.00">
                  <c:v>38760.683189760013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D8-4424-B3B1-EF871131F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982756"/>
        <c:axId val="1161874080"/>
      </c:lineChart>
      <c:catAx>
        <c:axId val="664982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Financial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1874080"/>
        <c:crosses val="autoZero"/>
        <c:auto val="1"/>
        <c:lblAlgn val="ctr"/>
        <c:lblOffset val="100"/>
        <c:noMultiLvlLbl val="1"/>
      </c:catAx>
      <c:valAx>
        <c:axId val="1161874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(₹ Cr)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49827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Profitability Margins: Historical vs Forecast.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Dashboard!$N$9</c:f>
              <c:strCache>
                <c:ptCount val="1"/>
                <c:pt idx="0">
                  <c:v>EBITDA Margin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Dashboard!$M$10:$M$15</c:f>
              <c:strCache>
                <c:ptCount val="6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</c:strCache>
            </c:strRef>
          </c:cat>
          <c:val>
            <c:numRef>
              <c:f>Dashboard!$N$10:$N$15</c:f>
              <c:numCache>
                <c:formatCode>0.00%</c:formatCode>
                <c:ptCount val="6"/>
                <c:pt idx="0">
                  <c:v>0.25188907035578184</c:v>
                </c:pt>
                <c:pt idx="1">
                  <c:v>0.21408739994552095</c:v>
                </c:pt>
                <c:pt idx="2">
                  <c:v>0.23117485248369488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7-4936-8424-CB5006D115F2}"/>
            </c:ext>
          </c:extLst>
        </c:ser>
        <c:ser>
          <c:idx val="1"/>
          <c:order val="1"/>
          <c:tx>
            <c:strRef>
              <c:f>Dashboard!$O$9</c:f>
              <c:strCache>
                <c:ptCount val="1"/>
                <c:pt idx="0">
                  <c:v>PAT Margin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Dashboard!$M$10:$M$15</c:f>
              <c:strCache>
                <c:ptCount val="6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</c:strCache>
            </c:strRef>
          </c:cat>
          <c:val>
            <c:numRef>
              <c:f>Dashboard!$O$10:$O$15</c:f>
              <c:numCache>
                <c:formatCode>0.00%</c:formatCode>
                <c:ptCount val="6"/>
                <c:pt idx="0">
                  <c:v>0.17020559131520799</c:v>
                </c:pt>
                <c:pt idx="1">
                  <c:v>0.12141280054411364</c:v>
                </c:pt>
                <c:pt idx="2">
                  <c:v>0.13793440773129739</c:v>
                </c:pt>
                <c:pt idx="3">
                  <c:v>0.16275000000000001</c:v>
                </c:pt>
                <c:pt idx="4">
                  <c:v>0.16275000000000001</c:v>
                </c:pt>
                <c:pt idx="5">
                  <c:v>0.16275000000000001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B7-4936-8424-CB5006D11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829872"/>
        <c:axId val="825569229"/>
      </c:lineChart>
      <c:catAx>
        <c:axId val="634829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Financial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5569229"/>
        <c:crosses val="autoZero"/>
        <c:auto val="1"/>
        <c:lblAlgn val="ctr"/>
        <c:lblOffset val="100"/>
        <c:noMultiLvlLbl val="1"/>
      </c:catAx>
      <c:valAx>
        <c:axId val="825569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48298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19050</xdr:rowOff>
    </xdr:from>
    <xdr:ext cx="4705350" cy="21240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19050</xdr:colOff>
      <xdr:row>8</xdr:row>
      <xdr:rowOff>19050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4"/>
  <sheetViews>
    <sheetView tabSelected="1" workbookViewId="0">
      <selection activeCell="D13" sqref="D13"/>
    </sheetView>
  </sheetViews>
  <sheetFormatPr defaultColWidth="12.6640625" defaultRowHeight="15.75" customHeight="1" x14ac:dyDescent="0.25"/>
  <cols>
    <col min="1" max="1" width="22.109375" customWidth="1"/>
    <col min="2" max="2" width="27.88671875" customWidth="1"/>
    <col min="4" max="4" width="19.77734375" customWidth="1"/>
  </cols>
  <sheetData>
    <row r="1" spans="1:8" ht="15.75" customHeight="1" x14ac:dyDescent="0.3">
      <c r="A1" s="55" t="s">
        <v>0</v>
      </c>
      <c r="B1" s="56"/>
      <c r="C1" s="56"/>
      <c r="D1" s="56"/>
      <c r="E1" s="56"/>
      <c r="F1" s="56"/>
      <c r="G1" s="4"/>
      <c r="H1" s="4"/>
    </row>
    <row r="3" spans="1:8" ht="15.75" customHeight="1" x14ac:dyDescent="0.3">
      <c r="A3" s="57" t="s">
        <v>8</v>
      </c>
      <c r="B3" s="56"/>
      <c r="C3" s="56"/>
      <c r="D3" s="56"/>
      <c r="E3" s="56"/>
      <c r="F3" s="56"/>
      <c r="G3" s="8"/>
      <c r="H3" s="8"/>
    </row>
    <row r="4" spans="1:8" x14ac:dyDescent="0.25">
      <c r="G4" s="9"/>
      <c r="H4" s="9"/>
    </row>
    <row r="5" spans="1:8" ht="15.75" customHeight="1" x14ac:dyDescent="0.3">
      <c r="A5" s="58" t="s">
        <v>14</v>
      </c>
      <c r="B5" s="56"/>
      <c r="C5" s="56"/>
      <c r="D5" s="56"/>
      <c r="E5" s="56"/>
      <c r="F5" s="56"/>
      <c r="G5" s="8"/>
      <c r="H5" s="8"/>
    </row>
    <row r="8" spans="1:8" x14ac:dyDescent="0.25">
      <c r="A8" s="15" t="s">
        <v>15</v>
      </c>
      <c r="B8" s="17"/>
      <c r="C8" s="17"/>
      <c r="D8" s="15" t="s">
        <v>17</v>
      </c>
    </row>
    <row r="9" spans="1:8" x14ac:dyDescent="0.25">
      <c r="A9" s="18" t="s">
        <v>19</v>
      </c>
      <c r="B9" s="17"/>
      <c r="C9" s="17"/>
      <c r="D9" s="18" t="s">
        <v>20</v>
      </c>
    </row>
    <row r="10" spans="1:8" x14ac:dyDescent="0.25">
      <c r="A10" s="17"/>
      <c r="B10" s="17"/>
      <c r="C10" s="17"/>
      <c r="D10" s="17"/>
    </row>
    <row r="11" spans="1:8" x14ac:dyDescent="0.25">
      <c r="A11" s="17"/>
      <c r="B11" s="17"/>
      <c r="C11" s="17"/>
      <c r="D11" s="17"/>
    </row>
    <row r="12" spans="1:8" x14ac:dyDescent="0.25">
      <c r="B12" s="20" t="s">
        <v>21</v>
      </c>
      <c r="C12" s="17"/>
      <c r="D12" s="17"/>
    </row>
    <row r="13" spans="1:8" x14ac:dyDescent="0.25">
      <c r="B13" s="21" t="s">
        <v>23</v>
      </c>
      <c r="C13" s="17"/>
      <c r="D13" s="17"/>
    </row>
    <row r="14" spans="1:8" x14ac:dyDescent="0.25">
      <c r="B14" s="21" t="s">
        <v>24</v>
      </c>
      <c r="C14" s="17"/>
      <c r="D14" s="17"/>
    </row>
    <row r="15" spans="1:8" x14ac:dyDescent="0.25">
      <c r="B15" s="21" t="s">
        <v>25</v>
      </c>
      <c r="C15" s="17"/>
      <c r="D15" s="17"/>
    </row>
    <row r="16" spans="1:8" x14ac:dyDescent="0.25">
      <c r="B16" s="21" t="s">
        <v>26</v>
      </c>
      <c r="C16" s="17"/>
      <c r="D16" s="17"/>
    </row>
    <row r="17" spans="1:8" x14ac:dyDescent="0.25">
      <c r="B17" s="21" t="s">
        <v>27</v>
      </c>
      <c r="C17" s="17"/>
      <c r="D17" s="17"/>
    </row>
    <row r="18" spans="1:8" x14ac:dyDescent="0.25">
      <c r="A18" s="17"/>
      <c r="B18" s="17"/>
      <c r="C18" s="17"/>
      <c r="D18" s="17"/>
    </row>
    <row r="19" spans="1:8" x14ac:dyDescent="0.25">
      <c r="A19" s="17"/>
      <c r="B19" s="22"/>
      <c r="C19" s="17"/>
      <c r="D19" s="17"/>
    </row>
    <row r="20" spans="1:8" x14ac:dyDescent="0.25">
      <c r="B20" s="23" t="s">
        <v>29</v>
      </c>
      <c r="C20" s="17"/>
      <c r="D20" s="17"/>
    </row>
    <row r="21" spans="1:8" x14ac:dyDescent="0.25">
      <c r="B21" s="24" t="s">
        <v>30</v>
      </c>
      <c r="C21" s="17"/>
      <c r="D21" s="17"/>
    </row>
    <row r="23" spans="1:8" ht="15.75" customHeight="1" x14ac:dyDescent="0.3">
      <c r="A23" s="59" t="s">
        <v>31</v>
      </c>
      <c r="B23" s="56"/>
      <c r="C23" s="56"/>
      <c r="D23" s="56"/>
      <c r="E23" s="56"/>
      <c r="F23" s="56"/>
      <c r="G23" s="26"/>
      <c r="H23" s="26"/>
    </row>
    <row r="24" spans="1:8" x14ac:dyDescent="0.25">
      <c r="A24" s="60" t="s">
        <v>35</v>
      </c>
      <c r="B24" s="56"/>
      <c r="C24" s="56"/>
      <c r="D24" s="56"/>
      <c r="E24" s="56"/>
      <c r="F24" s="56"/>
      <c r="G24" s="27"/>
      <c r="H24" s="27"/>
    </row>
  </sheetData>
  <mergeCells count="5">
    <mergeCell ref="A1:F1"/>
    <mergeCell ref="A3:F3"/>
    <mergeCell ref="A5:F5"/>
    <mergeCell ref="A23:F23"/>
    <mergeCell ref="A24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4"/>
  <sheetViews>
    <sheetView workbookViewId="0"/>
  </sheetViews>
  <sheetFormatPr defaultColWidth="12.6640625" defaultRowHeight="15.75" customHeight="1" x14ac:dyDescent="0.25"/>
  <cols>
    <col min="1" max="1" width="22.6640625" customWidth="1"/>
    <col min="2" max="2" width="28.88671875" customWidth="1"/>
    <col min="3" max="3" width="40.88671875" customWidth="1"/>
    <col min="4" max="4" width="28.44140625" customWidth="1"/>
  </cols>
  <sheetData>
    <row r="1" spans="1:12" ht="13.2" x14ac:dyDescent="0.25">
      <c r="A1" s="3" t="s">
        <v>3</v>
      </c>
      <c r="B1" s="3" t="s">
        <v>5</v>
      </c>
      <c r="C1" s="3" t="s">
        <v>6</v>
      </c>
      <c r="D1" s="3" t="s">
        <v>7</v>
      </c>
      <c r="E1" s="3" t="s">
        <v>10</v>
      </c>
      <c r="F1" s="9"/>
    </row>
    <row r="2" spans="1:12" ht="13.2" x14ac:dyDescent="0.25">
      <c r="A2" s="13" t="s">
        <v>12</v>
      </c>
      <c r="B2" s="14">
        <v>31227</v>
      </c>
      <c r="C2" s="14">
        <v>29552.65</v>
      </c>
      <c r="D2" s="14">
        <v>30769.48</v>
      </c>
      <c r="E2" s="16" t="s">
        <v>16</v>
      </c>
      <c r="F2" s="9"/>
    </row>
    <row r="3" spans="1:12" ht="13.2" x14ac:dyDescent="0.25">
      <c r="A3" s="13" t="s">
        <v>18</v>
      </c>
      <c r="B3" s="16">
        <v>821.92</v>
      </c>
      <c r="C3" s="16">
        <v>770.31</v>
      </c>
      <c r="D3" s="16">
        <v>932.66</v>
      </c>
      <c r="E3" s="16" t="s">
        <v>16</v>
      </c>
      <c r="F3" s="9"/>
    </row>
    <row r="4" spans="1:12" ht="13.2" x14ac:dyDescent="0.25">
      <c r="A4" s="13" t="s">
        <v>13</v>
      </c>
      <c r="B4" s="16" t="str">
        <f>"-"</f>
        <v>-</v>
      </c>
      <c r="C4" s="25">
        <f t="shared" ref="C4:D4" si="0">(C2/B2)-1</f>
        <v>-5.3618663336215455E-2</v>
      </c>
      <c r="D4" s="25">
        <f t="shared" si="0"/>
        <v>4.1174987691459108E-2</v>
      </c>
      <c r="E4" s="16" t="s">
        <v>32</v>
      </c>
      <c r="F4" s="9"/>
    </row>
    <row r="5" spans="1:12" ht="13.2" x14ac:dyDescent="0.25">
      <c r="A5" s="13" t="s">
        <v>34</v>
      </c>
      <c r="B5" s="14">
        <v>17471.89</v>
      </c>
      <c r="C5" s="14">
        <v>16791.84</v>
      </c>
      <c r="D5" s="14">
        <v>17067.72</v>
      </c>
      <c r="E5" s="16" t="s">
        <v>16</v>
      </c>
      <c r="F5" s="9"/>
    </row>
    <row r="6" spans="1:12" ht="13.2" x14ac:dyDescent="0.25">
      <c r="A6" s="13" t="s">
        <v>36</v>
      </c>
      <c r="B6" s="14">
        <v>1816.19</v>
      </c>
      <c r="C6" s="14">
        <v>2013.58</v>
      </c>
      <c r="D6" s="14">
        <v>2176.6799999999998</v>
      </c>
      <c r="E6" s="16" t="s">
        <v>16</v>
      </c>
      <c r="F6" s="9"/>
    </row>
    <row r="7" spans="1:12" ht="13.2" x14ac:dyDescent="0.25">
      <c r="A7" s="13" t="s">
        <v>38</v>
      </c>
      <c r="B7" s="14">
        <v>4895.08</v>
      </c>
      <c r="C7" s="14">
        <v>5190.6899999999996</v>
      </c>
      <c r="D7" s="14">
        <v>5344.61</v>
      </c>
      <c r="E7" s="16" t="s">
        <v>16</v>
      </c>
      <c r="F7" s="9"/>
      <c r="I7" s="22"/>
      <c r="J7" s="28"/>
      <c r="K7" s="28"/>
      <c r="L7" s="28"/>
    </row>
    <row r="8" spans="1:12" ht="13.2" x14ac:dyDescent="0.25">
      <c r="A8" s="13" t="s">
        <v>39</v>
      </c>
      <c r="B8" s="14">
        <v>7865.74</v>
      </c>
      <c r="C8" s="14">
        <v>6326.85</v>
      </c>
      <c r="D8" s="14">
        <v>7113.13</v>
      </c>
      <c r="E8" s="16" t="s">
        <v>16</v>
      </c>
      <c r="F8" s="9"/>
      <c r="J8" s="29"/>
      <c r="K8" s="29"/>
    </row>
    <row r="9" spans="1:12" ht="13.2" x14ac:dyDescent="0.25">
      <c r="A9" s="13" t="s">
        <v>22</v>
      </c>
      <c r="B9" s="25">
        <f t="shared" ref="B9:D9" si="1">B8/B2</f>
        <v>0.25188907035578184</v>
      </c>
      <c r="C9" s="25">
        <f t="shared" si="1"/>
        <v>0.21408739994552095</v>
      </c>
      <c r="D9" s="25">
        <f t="shared" si="1"/>
        <v>0.23117485248369488</v>
      </c>
      <c r="E9" s="16" t="s">
        <v>32</v>
      </c>
      <c r="F9" s="9"/>
      <c r="J9" s="35"/>
      <c r="K9" s="35"/>
    </row>
    <row r="10" spans="1:12" ht="13.2" x14ac:dyDescent="0.25">
      <c r="A10" s="13" t="s">
        <v>49</v>
      </c>
      <c r="B10" s="16">
        <v>742.93</v>
      </c>
      <c r="C10" s="16">
        <v>901.85</v>
      </c>
      <c r="D10" s="14">
        <v>1085.6500000000001</v>
      </c>
      <c r="E10" s="16" t="s">
        <v>16</v>
      </c>
      <c r="F10" s="9"/>
      <c r="J10" s="35"/>
      <c r="K10" s="35"/>
    </row>
    <row r="11" spans="1:12" ht="13.2" x14ac:dyDescent="0.25">
      <c r="A11" s="13" t="s">
        <v>50</v>
      </c>
      <c r="B11" s="14">
        <f t="shared" ref="B11:D11" si="2">B8-B10</f>
        <v>7122.8099999999995</v>
      </c>
      <c r="C11" s="14">
        <f t="shared" si="2"/>
        <v>5425</v>
      </c>
      <c r="D11" s="14">
        <f t="shared" si="2"/>
        <v>6027.48</v>
      </c>
      <c r="E11" s="16" t="s">
        <v>16</v>
      </c>
      <c r="F11" s="9"/>
      <c r="J11" s="29"/>
      <c r="K11" s="29"/>
    </row>
    <row r="12" spans="1:12" ht="13.2" x14ac:dyDescent="0.25">
      <c r="A12" s="13" t="s">
        <v>51</v>
      </c>
      <c r="B12" s="16">
        <v>124.09</v>
      </c>
      <c r="C12" s="16">
        <v>143.77000000000001</v>
      </c>
      <c r="D12" s="16">
        <v>127.35</v>
      </c>
      <c r="E12" s="16" t="s">
        <v>16</v>
      </c>
      <c r="F12" s="9"/>
      <c r="J12" s="29"/>
      <c r="K12" s="29"/>
    </row>
    <row r="13" spans="1:12" ht="13.2" x14ac:dyDescent="0.25">
      <c r="A13" s="13" t="s">
        <v>52</v>
      </c>
      <c r="B13" s="14">
        <v>6998.72</v>
      </c>
      <c r="C13" s="14">
        <v>4901.6000000000004</v>
      </c>
      <c r="D13" s="14">
        <v>5733.6</v>
      </c>
      <c r="E13" s="16" t="s">
        <v>16</v>
      </c>
      <c r="F13" s="9"/>
      <c r="J13" s="29"/>
      <c r="K13" s="29"/>
    </row>
    <row r="14" spans="1:12" ht="13.2" x14ac:dyDescent="0.25">
      <c r="A14" s="13" t="s">
        <v>54</v>
      </c>
      <c r="B14" s="16">
        <v>0</v>
      </c>
      <c r="C14" s="16">
        <v>379.63</v>
      </c>
      <c r="D14" s="16">
        <v>166.53</v>
      </c>
      <c r="E14" s="16" t="s">
        <v>16</v>
      </c>
      <c r="F14" s="9"/>
      <c r="J14" s="29"/>
      <c r="K14" s="29"/>
    </row>
    <row r="15" spans="1:12" ht="13.2" x14ac:dyDescent="0.25">
      <c r="A15" s="13" t="s">
        <v>55</v>
      </c>
      <c r="B15" s="14">
        <v>1683.71</v>
      </c>
      <c r="C15" s="14">
        <v>1313.53</v>
      </c>
      <c r="D15" s="14">
        <v>1489.43</v>
      </c>
      <c r="E15" s="16" t="s">
        <v>16</v>
      </c>
      <c r="F15" s="9"/>
      <c r="J15" s="35"/>
      <c r="K15" s="35"/>
    </row>
    <row r="16" spans="1:12" ht="13.2" x14ac:dyDescent="0.25">
      <c r="A16" s="13" t="s">
        <v>56</v>
      </c>
      <c r="B16" s="14">
        <v>5315.01</v>
      </c>
      <c r="C16" s="14">
        <v>3588.07</v>
      </c>
      <c r="D16" s="14">
        <v>4244.17</v>
      </c>
      <c r="E16" s="16" t="s">
        <v>16</v>
      </c>
      <c r="F16" s="9"/>
      <c r="J16" s="35"/>
      <c r="K16" s="35"/>
    </row>
    <row r="17" spans="1:11" ht="13.2" x14ac:dyDescent="0.25">
      <c r="A17" s="13" t="s">
        <v>57</v>
      </c>
      <c r="B17" s="25">
        <f t="shared" ref="B17:D17" si="3">B16/B2</f>
        <v>0.17020559131520799</v>
      </c>
      <c r="C17" s="25">
        <f t="shared" si="3"/>
        <v>0.12141280054411364</v>
      </c>
      <c r="D17" s="25">
        <f t="shared" si="3"/>
        <v>0.13793440773129739</v>
      </c>
      <c r="E17" s="16" t="s">
        <v>32</v>
      </c>
      <c r="F17" s="9"/>
      <c r="J17" s="35"/>
      <c r="K17" s="35"/>
    </row>
    <row r="18" spans="1:11" ht="13.2" x14ac:dyDescent="0.25">
      <c r="A18" s="13" t="s">
        <v>58</v>
      </c>
      <c r="B18" s="16">
        <v>55.43</v>
      </c>
      <c r="C18" s="16">
        <v>37.43</v>
      </c>
      <c r="D18" s="16">
        <v>44.27</v>
      </c>
      <c r="E18" s="16" t="s">
        <v>59</v>
      </c>
      <c r="F18" s="9"/>
      <c r="J18" s="35"/>
      <c r="K18" s="35"/>
    </row>
    <row r="19" spans="1:11" ht="42" customHeight="1" x14ac:dyDescent="0.25">
      <c r="A19" s="3" t="s">
        <v>60</v>
      </c>
      <c r="B19" s="36" t="s">
        <v>61</v>
      </c>
      <c r="C19" s="36" t="s">
        <v>62</v>
      </c>
      <c r="D19" s="36" t="s">
        <v>63</v>
      </c>
      <c r="E19" s="37"/>
      <c r="F19" s="9"/>
      <c r="J19" s="29"/>
      <c r="K19" s="29"/>
    </row>
    <row r="20" spans="1:11" ht="13.2" x14ac:dyDescent="0.25">
      <c r="A20" s="34"/>
      <c r="J20" s="35"/>
      <c r="K20" s="35"/>
    </row>
    <row r="21" spans="1:11" ht="13.2" x14ac:dyDescent="0.25">
      <c r="A21" s="13" t="s">
        <v>28</v>
      </c>
      <c r="B21" s="12">
        <f t="shared" ref="B21:D21" si="4">B10/B2</f>
        <v>2.3791270374995996E-2</v>
      </c>
      <c r="C21" s="12">
        <f t="shared" si="4"/>
        <v>3.0516721850663137E-2</v>
      </c>
      <c r="D21" s="12">
        <f t="shared" si="4"/>
        <v>3.5283339204952441E-2</v>
      </c>
      <c r="E21" s="16" t="s">
        <v>32</v>
      </c>
      <c r="J21" s="29"/>
      <c r="K21" s="29"/>
    </row>
    <row r="22" spans="1:11" ht="13.2" x14ac:dyDescent="0.25">
      <c r="A22" s="13" t="s">
        <v>64</v>
      </c>
      <c r="B22" s="12">
        <f t="shared" ref="B22:D22" si="5">B12/B2</f>
        <v>3.9738047202741216E-3</v>
      </c>
      <c r="C22" s="12">
        <f t="shared" si="5"/>
        <v>4.864876753861329E-3</v>
      </c>
      <c r="D22" s="12">
        <f t="shared" si="5"/>
        <v>4.1388414753840488E-3</v>
      </c>
      <c r="E22" s="16" t="s">
        <v>32</v>
      </c>
      <c r="J22" s="29"/>
      <c r="K22" s="29"/>
    </row>
    <row r="23" spans="1:11" ht="13.2" x14ac:dyDescent="0.25">
      <c r="A23" s="13" t="s">
        <v>65</v>
      </c>
      <c r="B23" s="12">
        <f t="shared" ref="B23:D23" si="6">B15/B13</f>
        <v>0.24057399067258012</v>
      </c>
      <c r="C23" s="12">
        <f t="shared" si="6"/>
        <v>0.26797984331646807</v>
      </c>
      <c r="D23" s="12">
        <f t="shared" si="6"/>
        <v>0.25977221989674898</v>
      </c>
      <c r="E23" s="16" t="s">
        <v>32</v>
      </c>
      <c r="J23" s="35"/>
      <c r="K23" s="35"/>
    </row>
    <row r="24" spans="1:11" ht="13.2" x14ac:dyDescent="0.25">
      <c r="J24" s="35"/>
      <c r="K24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2"/>
  <sheetViews>
    <sheetView workbookViewId="0"/>
  </sheetViews>
  <sheetFormatPr defaultColWidth="12.6640625" defaultRowHeight="15.75" customHeight="1" x14ac:dyDescent="0.25"/>
  <cols>
    <col min="1" max="1" width="16.77734375" customWidth="1"/>
  </cols>
  <sheetData>
    <row r="1" spans="1:10" x14ac:dyDescent="0.25">
      <c r="A1" s="2" t="s">
        <v>1</v>
      </c>
      <c r="B1" s="5" t="s">
        <v>4</v>
      </c>
      <c r="C1" s="7" t="s">
        <v>11</v>
      </c>
      <c r="D1" s="11" t="s">
        <v>9</v>
      </c>
    </row>
    <row r="2" spans="1:10" x14ac:dyDescent="0.25">
      <c r="A2" s="10" t="s">
        <v>13</v>
      </c>
      <c r="B2" s="12">
        <v>-0.03</v>
      </c>
      <c r="C2" s="19">
        <f>AVERAGE('Historical Data'!C4:D4)</f>
        <v>-6.2218378223781734E-3</v>
      </c>
      <c r="D2" s="12">
        <v>0.08</v>
      </c>
    </row>
    <row r="3" spans="1:10" x14ac:dyDescent="0.25">
      <c r="A3" s="10" t="s">
        <v>22</v>
      </c>
      <c r="B3" s="12">
        <v>0.19</v>
      </c>
      <c r="C3" s="19">
        <f>AVERAGE('Historical Data'!C9:D9)</f>
        <v>0.2226311262146079</v>
      </c>
      <c r="D3" s="12">
        <v>0.25</v>
      </c>
    </row>
    <row r="4" spans="1:10" x14ac:dyDescent="0.25">
      <c r="A4" s="10" t="s">
        <v>28</v>
      </c>
      <c r="B4" s="12">
        <v>0.04</v>
      </c>
      <c r="C4" s="19">
        <f>AVERAGE('Historical Data'!C21:D21)</f>
        <v>3.2900030527807787E-2</v>
      </c>
      <c r="D4" s="12">
        <v>0.03</v>
      </c>
    </row>
    <row r="5" spans="1:10" x14ac:dyDescent="0.25">
      <c r="A5" s="10" t="s">
        <v>33</v>
      </c>
      <c r="B5" s="12">
        <v>7.0000000000000001E-3</v>
      </c>
      <c r="C5" s="19">
        <f>AVERAGE('Historical Data'!C22:D22)</f>
        <v>4.5018591146226885E-3</v>
      </c>
      <c r="D5" s="12">
        <v>3.0000000000000001E-3</v>
      </c>
    </row>
    <row r="6" spans="1:10" x14ac:dyDescent="0.25">
      <c r="A6" s="10" t="s">
        <v>37</v>
      </c>
      <c r="B6" s="12">
        <v>0.28000000000000003</v>
      </c>
      <c r="C6" s="19">
        <f>AVERAGE('Historical Data'!C23:D23)</f>
        <v>0.26387603160660855</v>
      </c>
      <c r="D6" s="12">
        <v>0.25</v>
      </c>
    </row>
    <row r="7" spans="1:10" x14ac:dyDescent="0.25">
      <c r="I7" s="22"/>
      <c r="J7" s="22"/>
    </row>
    <row r="8" spans="1:10" x14ac:dyDescent="0.25">
      <c r="A8" s="61" t="s">
        <v>40</v>
      </c>
      <c r="B8" s="62"/>
      <c r="C8" s="62"/>
      <c r="D8" s="63"/>
    </row>
    <row r="9" spans="1:10" x14ac:dyDescent="0.25">
      <c r="A9" s="64" t="s">
        <v>41</v>
      </c>
      <c r="B9" s="62"/>
      <c r="C9" s="62"/>
      <c r="D9" s="63"/>
    </row>
    <row r="10" spans="1:10" x14ac:dyDescent="0.25">
      <c r="A10" s="64" t="s">
        <v>46</v>
      </c>
      <c r="B10" s="62"/>
      <c r="C10" s="62"/>
      <c r="D10" s="63"/>
    </row>
    <row r="11" spans="1:10" x14ac:dyDescent="0.25">
      <c r="A11" s="64" t="s">
        <v>47</v>
      </c>
      <c r="B11" s="62"/>
      <c r="C11" s="62"/>
      <c r="D11" s="63"/>
    </row>
    <row r="12" spans="1:10" x14ac:dyDescent="0.25">
      <c r="A12" s="64" t="s">
        <v>48</v>
      </c>
      <c r="B12" s="62"/>
      <c r="C12" s="62"/>
      <c r="D12" s="63"/>
    </row>
  </sheetData>
  <mergeCells count="5">
    <mergeCell ref="A8:D8"/>
    <mergeCell ref="A9:D9"/>
    <mergeCell ref="A10:D10"/>
    <mergeCell ref="A11:D11"/>
    <mergeCell ref="A12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2"/>
  <sheetViews>
    <sheetView workbookViewId="0"/>
  </sheetViews>
  <sheetFormatPr defaultColWidth="12.6640625" defaultRowHeight="15.75" customHeight="1" x14ac:dyDescent="0.25"/>
  <cols>
    <col min="1" max="1" width="17.21875" customWidth="1"/>
    <col min="2" max="2" width="14.44140625" customWidth="1"/>
  </cols>
  <sheetData>
    <row r="1" spans="1:6" x14ac:dyDescent="0.25">
      <c r="A1" s="1" t="s">
        <v>2</v>
      </c>
      <c r="B1" s="6" t="s">
        <v>9</v>
      </c>
    </row>
    <row r="2" spans="1:6" x14ac:dyDescent="0.25">
      <c r="A2" s="10"/>
      <c r="B2" s="10"/>
    </row>
    <row r="3" spans="1:6" x14ac:dyDescent="0.25">
      <c r="A3" s="10" t="s">
        <v>13</v>
      </c>
      <c r="B3" s="12">
        <f t="array" ref="B3">INDEX(Assumptions!$B$2:$D$2,1,MATCH($B$1,Assumptions!$B$1:$D$1,0))</f>
        <v>0.08</v>
      </c>
    </row>
    <row r="4" spans="1:6" x14ac:dyDescent="0.25">
      <c r="A4" s="10" t="s">
        <v>22</v>
      </c>
      <c r="B4" s="12">
        <f t="array" ref="B4">INDEX(Assumptions!$B$3:$D$3,1,MATCH($B$1,Assumptions!$B$1:$D$1,0))</f>
        <v>0.25</v>
      </c>
    </row>
    <row r="5" spans="1:6" x14ac:dyDescent="0.25">
      <c r="A5" s="10" t="s">
        <v>28</v>
      </c>
      <c r="B5" s="12">
        <f t="array" ref="B5">INDEX(Assumptions!$B$4:$D$4,1,MATCH($B$1,Assumptions!$B$1:$D$1,0))</f>
        <v>0.03</v>
      </c>
    </row>
    <row r="6" spans="1:6" x14ac:dyDescent="0.25">
      <c r="A6" s="10" t="s">
        <v>33</v>
      </c>
      <c r="B6" s="12">
        <f t="array" ref="B6">INDEX(Assumptions!$B$5:$D$5,1,MATCH($B$1,Assumptions!$B$1:$D$1,0))</f>
        <v>3.0000000000000001E-3</v>
      </c>
    </row>
    <row r="7" spans="1:6" x14ac:dyDescent="0.25">
      <c r="A7" s="10" t="s">
        <v>37</v>
      </c>
      <c r="B7" s="12">
        <f t="array" ref="B7">INDEX(Assumptions!$B$6:$D$6,1,MATCH($B$1,Assumptions!$B$1:$D$1,0))</f>
        <v>0.25</v>
      </c>
    </row>
    <row r="10" spans="1:6" x14ac:dyDescent="0.25">
      <c r="A10" s="30" t="s">
        <v>3</v>
      </c>
      <c r="B10" s="30" t="s">
        <v>42</v>
      </c>
      <c r="C10" s="30" t="s">
        <v>43</v>
      </c>
      <c r="D10" s="30" t="s">
        <v>44</v>
      </c>
      <c r="E10" s="30" t="s">
        <v>45</v>
      </c>
    </row>
    <row r="11" spans="1:6" x14ac:dyDescent="0.25">
      <c r="A11" s="31" t="s">
        <v>12</v>
      </c>
      <c r="B11" s="32">
        <f>'Historical Data'!D2</f>
        <v>30769.48</v>
      </c>
      <c r="C11" s="33">
        <f t="shared" ref="C11:E11" si="0">B11*(1+$B$3)</f>
        <v>33231.038400000005</v>
      </c>
      <c r="D11" s="33">
        <f t="shared" si="0"/>
        <v>35889.521472000008</v>
      </c>
      <c r="E11" s="33">
        <f t="shared" si="0"/>
        <v>38760.683189760013</v>
      </c>
      <c r="F11" s="34"/>
    </row>
    <row r="12" spans="1:6" x14ac:dyDescent="0.25">
      <c r="A12" s="31" t="s">
        <v>13</v>
      </c>
      <c r="B12" s="12">
        <f>'Historical Data'!D4</f>
        <v>4.1174987691459108E-2</v>
      </c>
      <c r="C12" s="12">
        <f t="shared" ref="C12:E12" si="1">C11/B11-1</f>
        <v>8.0000000000000071E-2</v>
      </c>
      <c r="D12" s="12">
        <f t="shared" si="1"/>
        <v>8.0000000000000071E-2</v>
      </c>
      <c r="E12" s="12">
        <f t="shared" si="1"/>
        <v>8.0000000000000071E-2</v>
      </c>
    </row>
    <row r="13" spans="1:6" x14ac:dyDescent="0.25">
      <c r="A13" s="31" t="s">
        <v>39</v>
      </c>
      <c r="B13" s="32">
        <f>'Historical Data'!D8</f>
        <v>7113.13</v>
      </c>
      <c r="C13" s="33">
        <f t="shared" ref="C13:E13" si="2">C11*$B$4</f>
        <v>8307.7596000000012</v>
      </c>
      <c r="D13" s="33">
        <f t="shared" si="2"/>
        <v>8972.3803680000019</v>
      </c>
      <c r="E13" s="33">
        <f t="shared" si="2"/>
        <v>9690.1707974400033</v>
      </c>
    </row>
    <row r="14" spans="1:6" x14ac:dyDescent="0.25">
      <c r="A14" s="31" t="s">
        <v>22</v>
      </c>
      <c r="B14" s="12">
        <f>'Historical Data'!D9</f>
        <v>0.23117485248369488</v>
      </c>
      <c r="C14" s="12">
        <f t="shared" ref="C14:E14" si="3">C13/C11</f>
        <v>0.25</v>
      </c>
      <c r="D14" s="12">
        <f t="shared" si="3"/>
        <v>0.25</v>
      </c>
      <c r="E14" s="12">
        <f t="shared" si="3"/>
        <v>0.25</v>
      </c>
    </row>
    <row r="15" spans="1:6" x14ac:dyDescent="0.25">
      <c r="A15" s="31" t="s">
        <v>53</v>
      </c>
      <c r="B15" s="32">
        <f>'Historical Data'!D10</f>
        <v>1085.6500000000001</v>
      </c>
      <c r="C15" s="33">
        <f t="shared" ref="C15:E15" si="4">C11*$B$5</f>
        <v>996.93115200000011</v>
      </c>
      <c r="D15" s="33">
        <f t="shared" si="4"/>
        <v>1076.6856441600003</v>
      </c>
      <c r="E15" s="33">
        <f t="shared" si="4"/>
        <v>1162.8204956928003</v>
      </c>
    </row>
    <row r="16" spans="1:6" x14ac:dyDescent="0.25">
      <c r="A16" s="31" t="s">
        <v>50</v>
      </c>
      <c r="B16" s="32">
        <f>'Historical Data'!D11</f>
        <v>6027.48</v>
      </c>
      <c r="C16" s="33">
        <f t="shared" ref="C16:E16" si="5">C13-C15</f>
        <v>7310.8284480000011</v>
      </c>
      <c r="D16" s="33">
        <f t="shared" si="5"/>
        <v>7895.6947238400016</v>
      </c>
      <c r="E16" s="33">
        <f t="shared" si="5"/>
        <v>8527.350301747203</v>
      </c>
    </row>
    <row r="17" spans="1:5" x14ac:dyDescent="0.25">
      <c r="A17" s="31" t="s">
        <v>51</v>
      </c>
      <c r="B17" s="10">
        <f>'Historical Data'!D12</f>
        <v>127.35</v>
      </c>
      <c r="C17" s="33">
        <f t="shared" ref="C17:E17" si="6">C11*$B$6</f>
        <v>99.693115200000022</v>
      </c>
      <c r="D17" s="33">
        <f t="shared" si="6"/>
        <v>107.66856441600002</v>
      </c>
      <c r="E17" s="33">
        <f t="shared" si="6"/>
        <v>116.28204956928005</v>
      </c>
    </row>
    <row r="18" spans="1:5" x14ac:dyDescent="0.25">
      <c r="A18" s="31" t="s">
        <v>54</v>
      </c>
      <c r="B18" s="10">
        <f>'Historical Data'!D14</f>
        <v>166.53</v>
      </c>
      <c r="C18" s="33">
        <f t="shared" ref="C18:E18" si="7">0</f>
        <v>0</v>
      </c>
      <c r="D18" s="33">
        <f t="shared" si="7"/>
        <v>0</v>
      </c>
      <c r="E18" s="33">
        <f t="shared" si="7"/>
        <v>0</v>
      </c>
    </row>
    <row r="19" spans="1:5" x14ac:dyDescent="0.25">
      <c r="A19" s="31" t="s">
        <v>52</v>
      </c>
      <c r="B19" s="32">
        <f>'Historical Data'!D13</f>
        <v>5733.6</v>
      </c>
      <c r="C19" s="33">
        <f t="shared" ref="C19:E19" si="8">C16-C17-C18</f>
        <v>7211.1353328000014</v>
      </c>
      <c r="D19" s="33">
        <f t="shared" si="8"/>
        <v>7788.0261594240019</v>
      </c>
      <c r="E19" s="33">
        <f t="shared" si="8"/>
        <v>8411.0682521779236</v>
      </c>
    </row>
    <row r="20" spans="1:5" x14ac:dyDescent="0.25">
      <c r="A20" s="31" t="s">
        <v>55</v>
      </c>
      <c r="B20" s="32">
        <f>'Historical Data'!D15</f>
        <v>1489.43</v>
      </c>
      <c r="C20" s="33">
        <f t="shared" ref="C20:E20" si="9">C19*$B$7</f>
        <v>1802.7838332000003</v>
      </c>
      <c r="D20" s="33">
        <f t="shared" si="9"/>
        <v>1947.0065398560005</v>
      </c>
      <c r="E20" s="33">
        <f t="shared" si="9"/>
        <v>2102.7670630444809</v>
      </c>
    </row>
    <row r="21" spans="1:5" x14ac:dyDescent="0.25">
      <c r="A21" s="31" t="s">
        <v>56</v>
      </c>
      <c r="B21" s="32">
        <f>'Historical Data'!D16</f>
        <v>4244.17</v>
      </c>
      <c r="C21" s="33">
        <f t="shared" ref="C21:E21" si="10">C19-C20</f>
        <v>5408.3514996000013</v>
      </c>
      <c r="D21" s="33">
        <f t="shared" si="10"/>
        <v>5841.0196195680019</v>
      </c>
      <c r="E21" s="33">
        <f t="shared" si="10"/>
        <v>6308.3011891334427</v>
      </c>
    </row>
    <row r="22" spans="1:5" x14ac:dyDescent="0.25">
      <c r="A22" s="31" t="s">
        <v>57</v>
      </c>
      <c r="B22" s="12">
        <f>'Historical Data'!D17</f>
        <v>0.13793440773129739</v>
      </c>
      <c r="C22" s="12">
        <f t="shared" ref="C22:E22" si="11">C21/C11</f>
        <v>0.16275000000000001</v>
      </c>
      <c r="D22" s="12">
        <f t="shared" si="11"/>
        <v>0.16275000000000001</v>
      </c>
      <c r="E22" s="12">
        <f t="shared" si="11"/>
        <v>0.16275000000000001</v>
      </c>
    </row>
  </sheetData>
  <dataValidations count="1">
    <dataValidation type="list" allowBlank="1" showErrorMessage="1" sqref="B1" xr:uid="{00000000-0002-0000-0300-000000000000}">
      <formula1>"Bear,Base,Bull"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3"/>
  <sheetViews>
    <sheetView workbookViewId="0"/>
  </sheetViews>
  <sheetFormatPr defaultColWidth="12.6640625" defaultRowHeight="15.75" customHeight="1" x14ac:dyDescent="0.25"/>
  <cols>
    <col min="1" max="1" width="23.21875" customWidth="1"/>
  </cols>
  <sheetData>
    <row r="1" spans="1:7" x14ac:dyDescent="0.25">
      <c r="A1" s="1" t="s">
        <v>3</v>
      </c>
      <c r="B1" s="3" t="s">
        <v>66</v>
      </c>
      <c r="C1" s="3" t="s">
        <v>67</v>
      </c>
      <c r="D1" s="3" t="s">
        <v>42</v>
      </c>
      <c r="E1" s="38" t="s">
        <v>43</v>
      </c>
      <c r="F1" s="38" t="s">
        <v>44</v>
      </c>
      <c r="G1" s="38" t="s">
        <v>45</v>
      </c>
    </row>
    <row r="2" spans="1:7" x14ac:dyDescent="0.25">
      <c r="A2" s="39" t="s">
        <v>12</v>
      </c>
      <c r="B2" s="32">
        <f>'Historical Data'!B2</f>
        <v>31227</v>
      </c>
      <c r="C2" s="32">
        <f>'Historical Data'!C2</f>
        <v>29552.65</v>
      </c>
      <c r="D2" s="32">
        <f>'Historical Data'!D2</f>
        <v>30769.48</v>
      </c>
      <c r="E2" s="33">
        <f>'Forecast Model'!C11</f>
        <v>33231.038400000005</v>
      </c>
      <c r="F2" s="33">
        <f>'Forecast Model'!D11</f>
        <v>35889.521472000008</v>
      </c>
      <c r="G2" s="33">
        <f>'Forecast Model'!E11</f>
        <v>38760.683189760013</v>
      </c>
    </row>
    <row r="3" spans="1:7" x14ac:dyDescent="0.25">
      <c r="A3" s="39" t="s">
        <v>13</v>
      </c>
      <c r="B3" s="10" t="str">
        <f>'Historical Data'!B4</f>
        <v>-</v>
      </c>
      <c r="C3" s="12">
        <f>'Historical Data'!C4</f>
        <v>-5.3618663336215455E-2</v>
      </c>
      <c r="D3" s="12">
        <f>'Historical Data'!D4</f>
        <v>4.1174987691459108E-2</v>
      </c>
      <c r="E3" s="12">
        <f>'Forecast Model'!C12</f>
        <v>8.0000000000000071E-2</v>
      </c>
      <c r="F3" s="12">
        <f>'Forecast Model'!D12</f>
        <v>8.0000000000000071E-2</v>
      </c>
      <c r="G3" s="12">
        <f>'Forecast Model'!E12</f>
        <v>8.0000000000000071E-2</v>
      </c>
    </row>
    <row r="4" spans="1:7" x14ac:dyDescent="0.25">
      <c r="A4" s="39" t="s">
        <v>39</v>
      </c>
      <c r="B4" s="32">
        <f>'Historical Data'!B8</f>
        <v>7865.74</v>
      </c>
      <c r="C4" s="32">
        <f>'Historical Data'!C8</f>
        <v>6326.85</v>
      </c>
      <c r="D4" s="32">
        <f>'Historical Data'!D8</f>
        <v>7113.13</v>
      </c>
      <c r="E4" s="33">
        <f>'Forecast Model'!C13</f>
        <v>8307.7596000000012</v>
      </c>
      <c r="F4" s="33">
        <f>'Forecast Model'!D13</f>
        <v>8972.3803680000019</v>
      </c>
      <c r="G4" s="33">
        <f>'Forecast Model'!E13</f>
        <v>9690.1707974400033</v>
      </c>
    </row>
    <row r="5" spans="1:7" x14ac:dyDescent="0.25">
      <c r="A5" s="39" t="s">
        <v>22</v>
      </c>
      <c r="B5" s="12">
        <f>'Historical Data'!B9</f>
        <v>0.25188907035578184</v>
      </c>
      <c r="C5" s="12">
        <f>'Historical Data'!C9</f>
        <v>0.21408739994552095</v>
      </c>
      <c r="D5" s="12">
        <f>'Historical Data'!D9</f>
        <v>0.23117485248369488</v>
      </c>
      <c r="E5" s="12">
        <f>'Forecast Model'!C14</f>
        <v>0.25</v>
      </c>
      <c r="F5" s="12">
        <f>'Forecast Model'!D14</f>
        <v>0.25</v>
      </c>
      <c r="G5" s="12">
        <f>'Forecast Model'!E14</f>
        <v>0.25</v>
      </c>
    </row>
    <row r="6" spans="1:7" x14ac:dyDescent="0.25">
      <c r="A6" s="39" t="s">
        <v>49</v>
      </c>
      <c r="B6" s="10">
        <f>'Historical Data'!B10</f>
        <v>742.93</v>
      </c>
      <c r="C6" s="10">
        <f>'Historical Data'!C10</f>
        <v>901.85</v>
      </c>
      <c r="D6" s="32">
        <f>'Historical Data'!D10</f>
        <v>1085.6500000000001</v>
      </c>
      <c r="E6" s="33">
        <f>'Forecast Model'!C15</f>
        <v>996.93115200000011</v>
      </c>
      <c r="F6" s="33">
        <f>'Forecast Model'!D15</f>
        <v>1076.6856441600003</v>
      </c>
      <c r="G6" s="33">
        <f>'Forecast Model'!E15</f>
        <v>1162.8204956928003</v>
      </c>
    </row>
    <row r="7" spans="1:7" x14ac:dyDescent="0.25">
      <c r="A7" s="39" t="s">
        <v>50</v>
      </c>
      <c r="B7" s="32">
        <f>'Historical Data'!B11</f>
        <v>7122.8099999999995</v>
      </c>
      <c r="C7" s="32">
        <f>'Historical Data'!C11</f>
        <v>5425</v>
      </c>
      <c r="D7" s="32">
        <f>'Historical Data'!D11</f>
        <v>6027.48</v>
      </c>
      <c r="E7" s="33">
        <f>'Forecast Model'!C16</f>
        <v>7310.8284480000011</v>
      </c>
      <c r="F7" s="33">
        <f>'Forecast Model'!D16</f>
        <v>7895.6947238400016</v>
      </c>
      <c r="G7" s="33">
        <f>'Forecast Model'!E16</f>
        <v>8527.350301747203</v>
      </c>
    </row>
    <row r="8" spans="1:7" x14ac:dyDescent="0.25">
      <c r="A8" s="39" t="s">
        <v>51</v>
      </c>
      <c r="B8" s="10">
        <f>'Historical Data'!B12</f>
        <v>124.09</v>
      </c>
      <c r="C8" s="10">
        <f>'Historical Data'!C12</f>
        <v>143.77000000000001</v>
      </c>
      <c r="D8" s="10">
        <f>'Historical Data'!D12</f>
        <v>127.35</v>
      </c>
      <c r="E8" s="33">
        <f>'Forecast Model'!C17</f>
        <v>99.693115200000022</v>
      </c>
      <c r="F8" s="33">
        <f>'Forecast Model'!D17</f>
        <v>107.66856441600002</v>
      </c>
      <c r="G8" s="33">
        <f>'Forecast Model'!E17</f>
        <v>116.28204956928005</v>
      </c>
    </row>
    <row r="9" spans="1:7" x14ac:dyDescent="0.25">
      <c r="A9" s="39" t="s">
        <v>54</v>
      </c>
      <c r="B9" s="10">
        <f>'Historical Data'!B14</f>
        <v>0</v>
      </c>
      <c r="C9" s="10">
        <f>'Historical Data'!C14</f>
        <v>379.63</v>
      </c>
      <c r="D9" s="10">
        <f>'Historical Data'!D14</f>
        <v>166.53</v>
      </c>
      <c r="E9" s="33">
        <f>'Forecast Model'!C18</f>
        <v>0</v>
      </c>
      <c r="F9" s="33">
        <f>'Forecast Model'!D18</f>
        <v>0</v>
      </c>
      <c r="G9" s="33">
        <f>'Forecast Model'!E18</f>
        <v>0</v>
      </c>
    </row>
    <row r="10" spans="1:7" x14ac:dyDescent="0.25">
      <c r="A10" s="39" t="s">
        <v>52</v>
      </c>
      <c r="B10" s="32">
        <f>'Historical Data'!B13</f>
        <v>6998.72</v>
      </c>
      <c r="C10" s="32">
        <f>'Historical Data'!C13</f>
        <v>4901.6000000000004</v>
      </c>
      <c r="D10" s="32">
        <f>'Historical Data'!D13</f>
        <v>5733.6</v>
      </c>
      <c r="E10" s="33">
        <f>'Forecast Model'!C19</f>
        <v>7211.1353328000014</v>
      </c>
      <c r="F10" s="33">
        <f>'Forecast Model'!D19</f>
        <v>7788.0261594240019</v>
      </c>
      <c r="G10" s="33">
        <f>'Forecast Model'!E19</f>
        <v>8411.0682521779236</v>
      </c>
    </row>
    <row r="11" spans="1:7" x14ac:dyDescent="0.25">
      <c r="A11" s="39" t="s">
        <v>55</v>
      </c>
      <c r="B11" s="32">
        <f>'Historical Data'!B15</f>
        <v>1683.71</v>
      </c>
      <c r="C11" s="32">
        <f>'Historical Data'!C15</f>
        <v>1313.53</v>
      </c>
      <c r="D11" s="32">
        <f>'Historical Data'!D15</f>
        <v>1489.43</v>
      </c>
      <c r="E11" s="33">
        <f>'Forecast Model'!C20</f>
        <v>1802.7838332000003</v>
      </c>
      <c r="F11" s="33">
        <f>'Forecast Model'!D20</f>
        <v>1947.0065398560005</v>
      </c>
      <c r="G11" s="33">
        <f>'Forecast Model'!E20</f>
        <v>2102.7670630444809</v>
      </c>
    </row>
    <row r="12" spans="1:7" x14ac:dyDescent="0.25">
      <c r="A12" s="39" t="s">
        <v>56</v>
      </c>
      <c r="B12" s="32">
        <f>'Historical Data'!B16</f>
        <v>5315.01</v>
      </c>
      <c r="C12" s="32">
        <f>'Historical Data'!C16</f>
        <v>3588.07</v>
      </c>
      <c r="D12" s="32">
        <f>'Historical Data'!D16</f>
        <v>4244.17</v>
      </c>
      <c r="E12" s="33">
        <f>'Forecast Model'!C21</f>
        <v>5408.3514996000013</v>
      </c>
      <c r="F12" s="33">
        <f>'Forecast Model'!D21</f>
        <v>5841.0196195680019</v>
      </c>
      <c r="G12" s="33">
        <f>'Forecast Model'!E21</f>
        <v>6308.3011891334427</v>
      </c>
    </row>
    <row r="13" spans="1:7" x14ac:dyDescent="0.25">
      <c r="A13" s="39" t="s">
        <v>57</v>
      </c>
      <c r="B13" s="12">
        <f>'Historical Data'!B17</f>
        <v>0.17020559131520799</v>
      </c>
      <c r="C13" s="12">
        <f>'Historical Data'!C17</f>
        <v>0.12141280054411364</v>
      </c>
      <c r="D13" s="12">
        <f>'Historical Data'!D17</f>
        <v>0.13793440773129739</v>
      </c>
      <c r="E13" s="12">
        <f>'Forecast Model'!C22</f>
        <v>0.16275000000000001</v>
      </c>
      <c r="F13" s="12">
        <f>'Forecast Model'!D22</f>
        <v>0.16275000000000001</v>
      </c>
      <c r="G13" s="12">
        <f>'Forecast Model'!E22</f>
        <v>0.16275000000000001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1"/>
  <sheetViews>
    <sheetView workbookViewId="0"/>
  </sheetViews>
  <sheetFormatPr defaultColWidth="12.6640625" defaultRowHeight="15.75" customHeight="1" x14ac:dyDescent="0.25"/>
  <cols>
    <col min="1" max="1" width="19.33203125" customWidth="1"/>
  </cols>
  <sheetData>
    <row r="1" spans="1:4" x14ac:dyDescent="0.25">
      <c r="A1" s="65" t="s">
        <v>68</v>
      </c>
      <c r="B1" s="56"/>
      <c r="C1" s="56"/>
      <c r="D1" s="56"/>
    </row>
    <row r="3" spans="1:4" x14ac:dyDescent="0.25">
      <c r="A3" s="40" t="s">
        <v>3</v>
      </c>
      <c r="B3" s="41" t="s">
        <v>4</v>
      </c>
      <c r="C3" s="3" t="s">
        <v>11</v>
      </c>
      <c r="D3" s="42" t="s">
        <v>9</v>
      </c>
    </row>
    <row r="4" spans="1:4" x14ac:dyDescent="0.25">
      <c r="A4" s="13" t="s">
        <v>12</v>
      </c>
      <c r="B4" s="33">
        <f>'Historical Data'!D2*(1+Assumptions!B2)^3</f>
        <v>28082.473620039997</v>
      </c>
      <c r="C4" s="33">
        <f>'Historical Data'!D2*(1+Assumptions!C2)^3</f>
        <v>30198.717822257997</v>
      </c>
      <c r="D4" s="33">
        <f>'Historical Data'!D2*(1+Assumptions!D2)^3</f>
        <v>38760.683189760006</v>
      </c>
    </row>
    <row r="5" spans="1:4" x14ac:dyDescent="0.25">
      <c r="A5" s="13" t="s">
        <v>39</v>
      </c>
      <c r="B5" s="33">
        <f>B4*Assumptions!B3</f>
        <v>5335.6699878075997</v>
      </c>
      <c r="C5" s="33">
        <f>C4*Assumptions!C3</f>
        <v>6723.1745590064493</v>
      </c>
      <c r="D5" s="33">
        <f>D4*Assumptions!D3</f>
        <v>9690.1707974400015</v>
      </c>
    </row>
    <row r="6" spans="1:4" x14ac:dyDescent="0.25">
      <c r="A6" s="13" t="s">
        <v>22</v>
      </c>
      <c r="B6" s="12">
        <f t="shared" ref="B6:D6" si="0">B5/B4</f>
        <v>0.19</v>
      </c>
      <c r="C6" s="12">
        <f t="shared" si="0"/>
        <v>0.2226311262146079</v>
      </c>
      <c r="D6" s="12">
        <f t="shared" si="0"/>
        <v>0.25</v>
      </c>
    </row>
    <row r="7" spans="1:4" x14ac:dyDescent="0.25">
      <c r="A7" s="13" t="s">
        <v>52</v>
      </c>
      <c r="B7" s="33">
        <f>B5-(B4*Assumptions!B4)-(B4*Assumptions!B5)</f>
        <v>4015.7937276657199</v>
      </c>
      <c r="C7" s="33">
        <f>C5-(C4*Assumptions!C4)-(C4*Assumptions!C5)</f>
        <v>5593.685447675457</v>
      </c>
      <c r="D7" s="33">
        <f>D5-(D4*Assumptions!D4)-(D4*Assumptions!D5)</f>
        <v>8411.0682521779217</v>
      </c>
    </row>
    <row r="8" spans="1:4" x14ac:dyDescent="0.25">
      <c r="A8" s="13" t="s">
        <v>56</v>
      </c>
      <c r="B8" s="33">
        <f>B7*(1-Assumptions!B6)</f>
        <v>2891.3714839193181</v>
      </c>
      <c r="C8" s="33">
        <f>C7*(1-Assumptions!C6)</f>
        <v>4117.6459296872217</v>
      </c>
      <c r="D8" s="33">
        <f>D7*(1-Assumptions!D6)</f>
        <v>6308.3011891334409</v>
      </c>
    </row>
    <row r="9" spans="1:4" x14ac:dyDescent="0.25">
      <c r="A9" s="13" t="s">
        <v>57</v>
      </c>
      <c r="B9" s="12">
        <f t="shared" ref="B9:D9" si="1">B8/B4</f>
        <v>0.10296</v>
      </c>
      <c r="C9" s="12">
        <f t="shared" si="1"/>
        <v>0.13635168068798956</v>
      </c>
      <c r="D9" s="12">
        <f t="shared" si="1"/>
        <v>0.16275000000000001</v>
      </c>
    </row>
    <row r="11" spans="1:4" x14ac:dyDescent="0.25">
      <c r="A11" s="66" t="s">
        <v>71</v>
      </c>
      <c r="B11" s="56"/>
      <c r="C11" s="56"/>
      <c r="D11" s="56"/>
    </row>
  </sheetData>
  <mergeCells count="2">
    <mergeCell ref="A1:D1"/>
    <mergeCell ref="A11:D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9"/>
  <sheetViews>
    <sheetView workbookViewId="0"/>
  </sheetViews>
  <sheetFormatPr defaultColWidth="12.6640625" defaultRowHeight="15.75" customHeight="1" x14ac:dyDescent="0.25"/>
  <cols>
    <col min="1" max="1" width="29.44140625" customWidth="1"/>
    <col min="4" max="4" width="14.88671875" customWidth="1"/>
  </cols>
  <sheetData>
    <row r="1" spans="1:4" x14ac:dyDescent="0.25">
      <c r="A1" s="67" t="s">
        <v>69</v>
      </c>
      <c r="B1" s="56"/>
      <c r="C1" s="56"/>
      <c r="D1" s="56"/>
    </row>
    <row r="3" spans="1:4" x14ac:dyDescent="0.25">
      <c r="A3" s="30" t="s">
        <v>70</v>
      </c>
      <c r="B3" s="43">
        <v>0.2</v>
      </c>
      <c r="C3" s="44">
        <v>0.22259999999999999</v>
      </c>
      <c r="D3" s="43">
        <v>0.25</v>
      </c>
    </row>
    <row r="4" spans="1:4" x14ac:dyDescent="0.25">
      <c r="A4" s="45">
        <v>-0.03</v>
      </c>
      <c r="B4" s="33">
        <f>('Historical Data'!$D$2*(1+$A4)^3)*(B$3-Assumptions!$C$4-Assumptions!$C$5)*(1-Assumptions!$C$6)</f>
        <v>3361.2577177268236</v>
      </c>
      <c r="C4" s="33">
        <f>('Historical Data'!$D$2*(1+$A4)^3)*(C$3-Assumptions!$C$4-Assumptions!$C$5)*(1-Assumptions!$C$6)</f>
        <v>3828.4490291976194</v>
      </c>
      <c r="D4" s="33">
        <f>('Historical Data'!$D$2*(1+$A4)^3)*(D$3-Assumptions!$C$4-Assumptions!$C$5)*(1-Assumptions!$C$6)</f>
        <v>4394.8668139011515</v>
      </c>
    </row>
    <row r="5" spans="1:4" x14ac:dyDescent="0.25">
      <c r="A5" s="45">
        <v>0</v>
      </c>
      <c r="B5" s="33">
        <f>('Historical Data'!$D$2*(1+$A5)^3)*(B$3-Assumptions!$C$4-Assumptions!$C$5)*(1-Assumptions!$C$6)</f>
        <v>3682.8718694722247</v>
      </c>
      <c r="C5" s="33">
        <f>('Historical Data'!$D$2*(1+$A5)^3)*(C$3-Assumptions!$C$4-Assumptions!$C$5)*(1-Assumptions!$C$6)</f>
        <v>4194.7652984120487</v>
      </c>
      <c r="D5" s="33">
        <f>('Historical Data'!$D$2*(1+$A5)^3)*(D$3-Assumptions!$C$4-Assumptions!$C$5)*(1-Assumptions!$C$6)</f>
        <v>4815.3794556222783</v>
      </c>
    </row>
    <row r="6" spans="1:4" x14ac:dyDescent="0.25">
      <c r="A6" s="45">
        <v>0.04</v>
      </c>
      <c r="B6" s="33">
        <f>('Historical Data'!$D$2*(1+$A6)^3)*(B$3-Assumptions!$C$4-Assumptions!$C$5)*(1-Assumptions!$C$6)</f>
        <v>4142.7299825820046</v>
      </c>
      <c r="C6" s="33">
        <f>('Historical Data'!$D$2*(1+$A6)^3)*(C$3-Assumptions!$C$4-Assumptions!$C$5)*(1-Assumptions!$C$6)</f>
        <v>4718.5404726329716</v>
      </c>
      <c r="D6" s="33">
        <f>('Historical Data'!$D$2*(1+$A6)^3)*(D$3-Assumptions!$C$4-Assumptions!$C$5)*(1-Assumptions!$C$6)</f>
        <v>5416.6469959691003</v>
      </c>
    </row>
    <row r="7" spans="1:4" x14ac:dyDescent="0.25">
      <c r="A7" s="45">
        <v>0.08</v>
      </c>
      <c r="B7" s="33">
        <f>('Historical Data'!$D$2*(1+$A7)^3)*(B$3-Assumptions!$C$4-Assumptions!$C$5)*(1-Assumptions!$C$6)</f>
        <v>4639.3578884365961</v>
      </c>
      <c r="C7" s="33">
        <f>('Historical Data'!$D$2*(1+$A7)^3)*(C$3-Assumptions!$C$4-Assumptions!$C$5)*(1-Assumptions!$C$6)</f>
        <v>5284.1961835932398</v>
      </c>
      <c r="D7" s="33">
        <f>('Historical Data'!$D$2*(1+$A7)^3)*(D$3-Assumptions!$C$4-Assumptions!$C$5)*(1-Assumptions!$C$6)</f>
        <v>6065.9912848008526</v>
      </c>
    </row>
    <row r="9" spans="1:4" x14ac:dyDescent="0.25">
      <c r="A9" s="68" t="s">
        <v>72</v>
      </c>
      <c r="B9" s="56"/>
      <c r="C9" s="56"/>
      <c r="D9" s="56"/>
    </row>
  </sheetData>
  <mergeCells count="2">
    <mergeCell ref="A1:D1"/>
    <mergeCell ref="A9:D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30"/>
  <sheetViews>
    <sheetView workbookViewId="0"/>
  </sheetViews>
  <sheetFormatPr defaultColWidth="12.6640625" defaultRowHeight="15.75" customHeight="1" x14ac:dyDescent="0.25"/>
  <cols>
    <col min="1" max="1" width="22.44140625" customWidth="1"/>
    <col min="7" max="7" width="16.77734375" customWidth="1"/>
    <col min="16" max="16" width="14.109375" customWidth="1"/>
    <col min="17" max="17" width="14" customWidth="1"/>
  </cols>
  <sheetData>
    <row r="1" spans="1:15" x14ac:dyDescent="0.25">
      <c r="A1" s="70" t="s">
        <v>73</v>
      </c>
      <c r="B1" s="62"/>
      <c r="C1" s="62"/>
      <c r="D1" s="62"/>
      <c r="E1" s="62"/>
      <c r="F1" s="62"/>
      <c r="G1" s="62"/>
      <c r="H1" s="62"/>
      <c r="I1" s="62"/>
      <c r="J1" s="62"/>
      <c r="K1" s="63"/>
      <c r="M1" s="47" t="s">
        <v>88</v>
      </c>
      <c r="N1" s="47" t="s">
        <v>89</v>
      </c>
    </row>
    <row r="2" spans="1:15" x14ac:dyDescent="0.25">
      <c r="A2" s="71" t="s">
        <v>90</v>
      </c>
      <c r="B2" s="62"/>
      <c r="C2" s="62"/>
      <c r="D2" s="62"/>
      <c r="E2" s="62"/>
      <c r="F2" s="62"/>
      <c r="G2" s="62"/>
      <c r="H2" s="62"/>
      <c r="I2" s="62"/>
      <c r="J2" s="62"/>
      <c r="K2" s="63"/>
      <c r="M2" s="48" t="s">
        <v>5</v>
      </c>
      <c r="N2" s="32">
        <f>'Financial Statements'!B2</f>
        <v>31227</v>
      </c>
    </row>
    <row r="3" spans="1:15" x14ac:dyDescent="0.25">
      <c r="A3" s="72" t="str">
        <f>"Historical Performance &amp; Forecast · FY24–FY29 · Current Scenario: "&amp;'Forecast Model'!B1</f>
        <v>Historical Performance &amp; Forecast · FY24–FY29 · Current Scenario: Bull</v>
      </c>
      <c r="B3" s="62"/>
      <c r="C3" s="62"/>
      <c r="D3" s="62"/>
      <c r="E3" s="62"/>
      <c r="F3" s="62"/>
      <c r="G3" s="62"/>
      <c r="H3" s="62"/>
      <c r="I3" s="62"/>
      <c r="J3" s="62"/>
      <c r="K3" s="63"/>
      <c r="M3" s="48" t="s">
        <v>6</v>
      </c>
      <c r="N3" s="32">
        <f>'Financial Statements'!C2</f>
        <v>29552.65</v>
      </c>
    </row>
    <row r="4" spans="1:15" x14ac:dyDescent="0.25">
      <c r="A4" s="73" t="s">
        <v>91</v>
      </c>
      <c r="B4" s="62"/>
      <c r="C4" s="62"/>
      <c r="D4" s="62"/>
      <c r="E4" s="62"/>
      <c r="F4" s="62"/>
      <c r="G4" s="62"/>
      <c r="H4" s="62"/>
      <c r="I4" s="62"/>
      <c r="J4" s="62"/>
      <c r="K4" s="63"/>
      <c r="M4" s="48" t="s">
        <v>7</v>
      </c>
      <c r="N4" s="32">
        <f>'Financial Statements'!D2</f>
        <v>30769.48</v>
      </c>
    </row>
    <row r="5" spans="1:15" x14ac:dyDescent="0.25">
      <c r="A5" s="2" t="s">
        <v>92</v>
      </c>
      <c r="B5" s="17"/>
      <c r="C5" s="2" t="s">
        <v>93</v>
      </c>
      <c r="D5" s="17"/>
      <c r="E5" s="2" t="s">
        <v>94</v>
      </c>
      <c r="F5" s="22"/>
      <c r="G5" s="2" t="s">
        <v>95</v>
      </c>
      <c r="H5" s="22"/>
      <c r="I5" s="2" t="s">
        <v>96</v>
      </c>
      <c r="K5" s="2" t="s">
        <v>97</v>
      </c>
      <c r="M5" s="48" t="s">
        <v>43</v>
      </c>
      <c r="N5" s="33">
        <f>'Financial Statements'!E2</f>
        <v>33231.038400000005</v>
      </c>
    </row>
    <row r="6" spans="1:15" x14ac:dyDescent="0.25">
      <c r="A6" s="49">
        <f>'Financial Statements'!D2</f>
        <v>30769.48</v>
      </c>
      <c r="B6" s="17"/>
      <c r="C6" s="49">
        <f>'Financial Statements'!D4</f>
        <v>7113.13</v>
      </c>
      <c r="D6" s="17"/>
      <c r="E6" s="49">
        <f>'Financial Statements'!D12</f>
        <v>4244.17</v>
      </c>
      <c r="F6" s="17"/>
      <c r="G6" s="50">
        <f>'Financial Statements'!D5</f>
        <v>0.23117485248369488</v>
      </c>
      <c r="H6" s="17"/>
      <c r="I6" s="51">
        <f>'Financial Statements'!G2</f>
        <v>38760.683189760013</v>
      </c>
      <c r="K6" s="51">
        <f>'Financial Statements'!G12</f>
        <v>6308.3011891334427</v>
      </c>
      <c r="M6" s="48" t="s">
        <v>44</v>
      </c>
      <c r="N6" s="33">
        <f>'Financial Statements'!F2</f>
        <v>35889.521472000008</v>
      </c>
    </row>
    <row r="7" spans="1:15" x14ac:dyDescent="0.25">
      <c r="M7" s="48" t="s">
        <v>45</v>
      </c>
      <c r="N7" s="33">
        <f>'Financial Statements'!G2</f>
        <v>38760.683189760013</v>
      </c>
    </row>
    <row r="8" spans="1:15" x14ac:dyDescent="0.25">
      <c r="A8" s="74" t="s">
        <v>98</v>
      </c>
      <c r="B8" s="56"/>
      <c r="C8" s="56"/>
    </row>
    <row r="9" spans="1:15" x14ac:dyDescent="0.25">
      <c r="M9" s="52" t="s">
        <v>88</v>
      </c>
      <c r="N9" s="52" t="s">
        <v>22</v>
      </c>
      <c r="O9" s="52" t="s">
        <v>57</v>
      </c>
    </row>
    <row r="10" spans="1:15" x14ac:dyDescent="0.25">
      <c r="M10" s="53" t="s">
        <v>5</v>
      </c>
      <c r="N10" s="25">
        <f>'Financial Statements'!B5</f>
        <v>0.25188907035578184</v>
      </c>
      <c r="O10" s="25">
        <f>'Financial Statements'!B13</f>
        <v>0.17020559131520799</v>
      </c>
    </row>
    <row r="11" spans="1:15" x14ac:dyDescent="0.25">
      <c r="M11" s="53" t="s">
        <v>6</v>
      </c>
      <c r="N11" s="25">
        <f>'Financial Statements'!C5</f>
        <v>0.21408739994552095</v>
      </c>
      <c r="O11" s="25">
        <f>'Financial Statements'!C13</f>
        <v>0.12141280054411364</v>
      </c>
    </row>
    <row r="12" spans="1:15" x14ac:dyDescent="0.25">
      <c r="M12" s="53" t="s">
        <v>7</v>
      </c>
      <c r="N12" s="25">
        <f>'Financial Statements'!D5</f>
        <v>0.23117485248369488</v>
      </c>
      <c r="O12" s="25">
        <f>'Financial Statements'!D13</f>
        <v>0.13793440773129739</v>
      </c>
    </row>
    <row r="13" spans="1:15" x14ac:dyDescent="0.25">
      <c r="M13" s="53" t="s">
        <v>43</v>
      </c>
      <c r="N13" s="25">
        <f>'Financial Statements'!E5</f>
        <v>0.25</v>
      </c>
      <c r="O13" s="25">
        <f>'Financial Statements'!E13</f>
        <v>0.16275000000000001</v>
      </c>
    </row>
    <row r="14" spans="1:15" x14ac:dyDescent="0.25">
      <c r="M14" s="53" t="s">
        <v>44</v>
      </c>
      <c r="N14" s="25">
        <f>'Financial Statements'!F5</f>
        <v>0.25</v>
      </c>
      <c r="O14" s="25">
        <f>'Financial Statements'!F13</f>
        <v>0.16275000000000001</v>
      </c>
    </row>
    <row r="15" spans="1:15" x14ac:dyDescent="0.25">
      <c r="M15" s="53" t="s">
        <v>45</v>
      </c>
      <c r="N15" s="25">
        <f>'Financial Statements'!G5</f>
        <v>0.25</v>
      </c>
      <c r="O15" s="25">
        <f>'Financial Statements'!G13</f>
        <v>0.16275000000000001</v>
      </c>
    </row>
    <row r="20" spans="1:5" x14ac:dyDescent="0.25">
      <c r="A20" s="75" t="s">
        <v>99</v>
      </c>
      <c r="B20" s="62"/>
      <c r="C20" s="62"/>
      <c r="D20" s="63"/>
    </row>
    <row r="21" spans="1:5" x14ac:dyDescent="0.25">
      <c r="A21" s="13" t="s">
        <v>100</v>
      </c>
      <c r="B21" s="39" t="s">
        <v>4</v>
      </c>
      <c r="C21" s="31" t="s">
        <v>11</v>
      </c>
      <c r="D21" s="48" t="s">
        <v>9</v>
      </c>
    </row>
    <row r="22" spans="1:5" x14ac:dyDescent="0.25">
      <c r="A22" s="54" t="s">
        <v>96</v>
      </c>
      <c r="B22" s="33">
        <f>'Scenario Analysis'!B4</f>
        <v>28082.473620039997</v>
      </c>
      <c r="C22" s="33">
        <f>'Scenario Analysis'!C4</f>
        <v>30198.717822257997</v>
      </c>
      <c r="D22" s="33">
        <f>'Scenario Analysis'!D4</f>
        <v>38760.683189760006</v>
      </c>
    </row>
    <row r="23" spans="1:5" x14ac:dyDescent="0.25">
      <c r="A23" s="54" t="s">
        <v>101</v>
      </c>
      <c r="B23" s="33">
        <f>'Scenario Analysis'!B5</f>
        <v>5335.6699878075997</v>
      </c>
      <c r="C23" s="33">
        <f>'Scenario Analysis'!C5</f>
        <v>6723.1745590064493</v>
      </c>
      <c r="D23" s="33">
        <f>'Scenario Analysis'!D5</f>
        <v>9690.1707974400015</v>
      </c>
    </row>
    <row r="24" spans="1:5" x14ac:dyDescent="0.25">
      <c r="A24" s="54" t="s">
        <v>97</v>
      </c>
      <c r="B24" s="33">
        <f>'Scenario Analysis'!B8</f>
        <v>2891.3714839193181</v>
      </c>
      <c r="C24" s="33">
        <f>'Scenario Analysis'!C8</f>
        <v>4117.6459296872217</v>
      </c>
      <c r="D24" s="33">
        <f>'Scenario Analysis'!D8</f>
        <v>6308.3011891334409</v>
      </c>
    </row>
    <row r="25" spans="1:5" x14ac:dyDescent="0.25">
      <c r="A25" s="54" t="s">
        <v>102</v>
      </c>
      <c r="B25" s="12">
        <f>'Scenario Analysis'!B9</f>
        <v>0.10296</v>
      </c>
      <c r="C25" s="12">
        <f>'Scenario Analysis'!C9</f>
        <v>0.13635168068798956</v>
      </c>
      <c r="D25" s="12">
        <f>'Scenario Analysis'!D9</f>
        <v>0.16275000000000001</v>
      </c>
    </row>
    <row r="27" spans="1:5" x14ac:dyDescent="0.25">
      <c r="A27" s="76" t="s">
        <v>103</v>
      </c>
      <c r="B27" s="62"/>
      <c r="C27" s="62"/>
      <c r="D27" s="62"/>
      <c r="E27" s="63"/>
    </row>
    <row r="28" spans="1:5" x14ac:dyDescent="0.25">
      <c r="A28" s="69" t="s">
        <v>104</v>
      </c>
      <c r="B28" s="62"/>
      <c r="C28" s="62"/>
      <c r="D28" s="62"/>
      <c r="E28" s="63"/>
    </row>
    <row r="29" spans="1:5" x14ac:dyDescent="0.25">
      <c r="A29" s="69" t="s">
        <v>105</v>
      </c>
      <c r="B29" s="62"/>
      <c r="C29" s="62"/>
      <c r="D29" s="62"/>
      <c r="E29" s="63"/>
    </row>
    <row r="30" spans="1:5" x14ac:dyDescent="0.25">
      <c r="A30" s="69" t="s">
        <v>106</v>
      </c>
      <c r="B30" s="62"/>
      <c r="C30" s="62"/>
      <c r="D30" s="62"/>
      <c r="E30" s="63"/>
    </row>
  </sheetData>
  <mergeCells count="10">
    <mergeCell ref="A28:E28"/>
    <mergeCell ref="A29:E29"/>
    <mergeCell ref="A30:E30"/>
    <mergeCell ref="A1:K1"/>
    <mergeCell ref="A2:K2"/>
    <mergeCell ref="A3:K3"/>
    <mergeCell ref="A4:K4"/>
    <mergeCell ref="A8:C8"/>
    <mergeCell ref="A20:D20"/>
    <mergeCell ref="A27:E2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0"/>
  <sheetViews>
    <sheetView workbookViewId="0"/>
  </sheetViews>
  <sheetFormatPr defaultColWidth="12.6640625" defaultRowHeight="15.75" customHeight="1" x14ac:dyDescent="0.25"/>
  <cols>
    <col min="8" max="8" width="12" customWidth="1"/>
  </cols>
  <sheetData>
    <row r="1" spans="1:8" ht="13.2" x14ac:dyDescent="0.25">
      <c r="A1" s="86" t="s">
        <v>73</v>
      </c>
      <c r="B1" s="56"/>
      <c r="C1" s="56"/>
      <c r="D1" s="56"/>
      <c r="E1" s="56"/>
      <c r="F1" s="56"/>
      <c r="G1" s="56"/>
      <c r="H1" s="56"/>
    </row>
    <row r="2" spans="1:8" ht="13.2" x14ac:dyDescent="0.25">
      <c r="A2" s="46"/>
      <c r="B2" s="46"/>
      <c r="C2" s="46"/>
      <c r="D2" s="46"/>
      <c r="E2" s="46"/>
      <c r="F2" s="46"/>
      <c r="G2" s="46"/>
      <c r="H2" s="46"/>
    </row>
    <row r="3" spans="1:8" ht="13.2" x14ac:dyDescent="0.25">
      <c r="A3" s="77" t="s">
        <v>74</v>
      </c>
      <c r="B3" s="78"/>
      <c r="C3" s="78"/>
      <c r="D3" s="78"/>
      <c r="E3" s="78"/>
      <c r="F3" s="78"/>
      <c r="G3" s="78"/>
      <c r="H3" s="79"/>
    </row>
    <row r="4" spans="1:8" ht="13.2" x14ac:dyDescent="0.25">
      <c r="A4" s="80" t="s">
        <v>75</v>
      </c>
      <c r="B4" s="78"/>
      <c r="C4" s="78"/>
      <c r="D4" s="78"/>
      <c r="E4" s="78"/>
      <c r="F4" s="78"/>
      <c r="G4" s="78"/>
      <c r="H4" s="79"/>
    </row>
    <row r="5" spans="1:8" ht="13.2" x14ac:dyDescent="0.25">
      <c r="A5" s="83" t="s">
        <v>76</v>
      </c>
      <c r="B5" s="84"/>
      <c r="C5" s="84"/>
      <c r="D5" s="84"/>
      <c r="E5" s="84"/>
      <c r="F5" s="84"/>
      <c r="G5" s="84"/>
      <c r="H5" s="85"/>
    </row>
    <row r="6" spans="1:8" ht="13.2" x14ac:dyDescent="0.25">
      <c r="A6" s="46"/>
      <c r="B6" s="46"/>
      <c r="C6" s="46"/>
      <c r="D6" s="46"/>
      <c r="E6" s="46"/>
      <c r="F6" s="46"/>
      <c r="G6" s="46"/>
      <c r="H6" s="46"/>
    </row>
    <row r="7" spans="1:8" ht="13.2" x14ac:dyDescent="0.25">
      <c r="A7" s="77" t="s">
        <v>77</v>
      </c>
      <c r="B7" s="78"/>
      <c r="C7" s="78"/>
      <c r="D7" s="78"/>
      <c r="E7" s="78"/>
      <c r="F7" s="78"/>
      <c r="G7" s="78"/>
      <c r="H7" s="79"/>
    </row>
    <row r="8" spans="1:8" ht="13.2" x14ac:dyDescent="0.25">
      <c r="A8" s="80" t="s">
        <v>78</v>
      </c>
      <c r="B8" s="78"/>
      <c r="C8" s="78"/>
      <c r="D8" s="78"/>
      <c r="E8" s="78"/>
      <c r="F8" s="78"/>
      <c r="G8" s="78"/>
      <c r="H8" s="79"/>
    </row>
    <row r="9" spans="1:8" ht="13.2" x14ac:dyDescent="0.25">
      <c r="A9" s="83" t="s">
        <v>79</v>
      </c>
      <c r="B9" s="84"/>
      <c r="C9" s="84"/>
      <c r="D9" s="84"/>
      <c r="E9" s="84"/>
      <c r="F9" s="84"/>
      <c r="G9" s="84"/>
      <c r="H9" s="85"/>
    </row>
    <row r="10" spans="1:8" ht="13.2" x14ac:dyDescent="0.25">
      <c r="A10" s="46"/>
      <c r="B10" s="46"/>
      <c r="C10" s="46"/>
      <c r="D10" s="46"/>
      <c r="E10" s="46"/>
      <c r="F10" s="46"/>
      <c r="G10" s="46"/>
      <c r="H10" s="46"/>
    </row>
    <row r="11" spans="1:8" ht="13.2" x14ac:dyDescent="0.25">
      <c r="A11" s="77" t="s">
        <v>80</v>
      </c>
      <c r="B11" s="78"/>
      <c r="C11" s="78"/>
      <c r="D11" s="78"/>
      <c r="E11" s="78"/>
      <c r="F11" s="78"/>
      <c r="G11" s="78"/>
      <c r="H11" s="79"/>
    </row>
    <row r="12" spans="1:8" ht="13.2" x14ac:dyDescent="0.25">
      <c r="A12" s="64" t="s">
        <v>81</v>
      </c>
      <c r="B12" s="62"/>
      <c r="C12" s="62"/>
      <c r="D12" s="62"/>
      <c r="E12" s="62"/>
      <c r="F12" s="62"/>
      <c r="G12" s="62"/>
      <c r="H12" s="63"/>
    </row>
    <row r="13" spans="1:8" ht="13.2" x14ac:dyDescent="0.25">
      <c r="A13" s="46"/>
      <c r="B13" s="46"/>
      <c r="C13" s="46"/>
      <c r="D13" s="46"/>
      <c r="E13" s="46"/>
      <c r="F13" s="46"/>
      <c r="G13" s="46"/>
      <c r="H13" s="46"/>
    </row>
    <row r="14" spans="1:8" ht="13.2" x14ac:dyDescent="0.25">
      <c r="A14" s="77" t="s">
        <v>82</v>
      </c>
      <c r="B14" s="78"/>
      <c r="C14" s="78"/>
      <c r="D14" s="78"/>
      <c r="E14" s="78"/>
      <c r="F14" s="78"/>
      <c r="G14" s="78"/>
      <c r="H14" s="79"/>
    </row>
    <row r="15" spans="1:8" ht="13.2" x14ac:dyDescent="0.25">
      <c r="A15" s="64" t="s">
        <v>83</v>
      </c>
      <c r="B15" s="62"/>
      <c r="C15" s="62"/>
      <c r="D15" s="62"/>
      <c r="E15" s="62"/>
      <c r="F15" s="62"/>
      <c r="G15" s="62"/>
      <c r="H15" s="63"/>
    </row>
    <row r="16" spans="1:8" ht="13.2" x14ac:dyDescent="0.25">
      <c r="A16" s="46"/>
      <c r="B16" s="46"/>
      <c r="C16" s="46"/>
      <c r="D16" s="46"/>
      <c r="E16" s="46"/>
      <c r="F16" s="46"/>
      <c r="G16" s="46"/>
      <c r="H16" s="46"/>
    </row>
    <row r="17" spans="1:8" ht="13.2" x14ac:dyDescent="0.25">
      <c r="A17" s="77" t="s">
        <v>84</v>
      </c>
      <c r="B17" s="78"/>
      <c r="C17" s="78"/>
      <c r="D17" s="78"/>
      <c r="E17" s="78"/>
      <c r="F17" s="78"/>
      <c r="G17" s="78"/>
      <c r="H17" s="79"/>
    </row>
    <row r="18" spans="1:8" ht="13.2" x14ac:dyDescent="0.25">
      <c r="A18" s="80" t="s">
        <v>85</v>
      </c>
      <c r="B18" s="78"/>
      <c r="C18" s="78"/>
      <c r="D18" s="78"/>
      <c r="E18" s="78"/>
      <c r="F18" s="78"/>
      <c r="G18" s="78"/>
      <c r="H18" s="79"/>
    </row>
    <row r="19" spans="1:8" ht="29.25" customHeight="1" x14ac:dyDescent="0.25">
      <c r="A19" s="81" t="s">
        <v>86</v>
      </c>
      <c r="B19" s="56"/>
      <c r="C19" s="56"/>
      <c r="D19" s="56"/>
      <c r="E19" s="56"/>
      <c r="F19" s="56"/>
      <c r="G19" s="56"/>
      <c r="H19" s="82"/>
    </row>
    <row r="20" spans="1:8" ht="13.2" x14ac:dyDescent="0.25">
      <c r="A20" s="83" t="s">
        <v>87</v>
      </c>
      <c r="B20" s="84"/>
      <c r="C20" s="84"/>
      <c r="D20" s="84"/>
      <c r="E20" s="84"/>
      <c r="F20" s="84"/>
      <c r="G20" s="84"/>
      <c r="H20" s="85"/>
    </row>
  </sheetData>
  <mergeCells count="15">
    <mergeCell ref="A18:H18"/>
    <mergeCell ref="A19:H19"/>
    <mergeCell ref="A20:H20"/>
    <mergeCell ref="A1:H1"/>
    <mergeCell ref="A3:H3"/>
    <mergeCell ref="A4:H4"/>
    <mergeCell ref="A5:H5"/>
    <mergeCell ref="A7:H7"/>
    <mergeCell ref="A8:H8"/>
    <mergeCell ref="A9:H9"/>
    <mergeCell ref="A11:H11"/>
    <mergeCell ref="A12:H12"/>
    <mergeCell ref="A14:H14"/>
    <mergeCell ref="A15:H1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Historical Data</vt:lpstr>
      <vt:lpstr>Assumptions</vt:lpstr>
      <vt:lpstr>Forecast Model</vt:lpstr>
      <vt:lpstr>Financial Statements</vt:lpstr>
      <vt:lpstr>Scenario Analysis</vt:lpstr>
      <vt:lpstr>Sensitivity</vt:lpstr>
      <vt:lpstr>Dashboard</vt:lpstr>
      <vt:lpstr>Analysis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BN</dc:creator>
  <cp:lastModifiedBy>Sahana BN</cp:lastModifiedBy>
  <dcterms:created xsi:type="dcterms:W3CDTF">2026-10-12T13:21:43Z</dcterms:created>
  <dcterms:modified xsi:type="dcterms:W3CDTF">2026-10-12T13:24:18Z</dcterms:modified>
</cp:coreProperties>
</file>